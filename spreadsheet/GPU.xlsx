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baird/Projects/GPU/spreadsheet/"/>
    </mc:Choice>
  </mc:AlternateContent>
  <xr:revisionPtr revIDLastSave="0" documentId="13_ncr:1_{5F962D1A-F359-704C-80CA-6ABBF52C2A4A}" xr6:coauthVersionLast="47" xr6:coauthVersionMax="47" xr10:uidLastSave="{00000000-0000-0000-0000-000000000000}"/>
  <bookViews>
    <workbookView xWindow="1500" yWindow="1400" windowWidth="27640" windowHeight="16680" xr2:uid="{E2A779C8-E5DB-664A-84A6-0EAC9E7554FD}"/>
  </bookViews>
  <sheets>
    <sheet name="Parameters" sheetId="7" r:id="rId1"/>
    <sheet name="Execution Model" sheetId="8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C9" i="8"/>
  <c r="C16" i="8" s="1"/>
  <c r="C7" i="8"/>
  <c r="C8" i="8" s="1"/>
  <c r="C6" i="8"/>
  <c r="C15" i="8" s="1"/>
  <c r="C5" i="8"/>
  <c r="C14" i="8" s="1"/>
  <c r="C4" i="8"/>
  <c r="C13" i="8" s="1"/>
  <c r="C3" i="8"/>
  <c r="C12" i="8" s="1"/>
  <c r="C17" i="8" l="1"/>
  <c r="C21" i="8"/>
  <c r="C22" i="8"/>
  <c r="C23" i="8" l="1"/>
  <c r="C24" i="8" s="1"/>
  <c r="C25" i="8" s="1"/>
  <c r="C2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Baird</author>
  </authors>
  <commentList>
    <comment ref="E6" authorId="0" shapeId="0" xr:uid="{98D12A3B-6BAC-AB48-9381-8C91D645F5B2}">
      <text>
        <r>
          <rPr>
            <b/>
            <sz val="10"/>
            <color rgb="FF000000"/>
            <rFont val="Tahoma"/>
            <family val="2"/>
          </rPr>
          <t>Colin Baird:</t>
        </r>
        <r>
          <rPr>
            <sz val="10"/>
            <color rgb="FF000000"/>
            <rFont val="Tahoma"/>
            <family val="2"/>
          </rPr>
          <t xml:space="preserve">
Simplification: assumes single-lane iterative divider. Entire warp serialized.</t>
        </r>
      </text>
    </comment>
    <comment ref="E7" authorId="0" shapeId="0" xr:uid="{6269ECFE-4B34-964D-B0D2-C343D25A9279}">
      <text>
        <r>
          <rPr>
            <b/>
            <sz val="10"/>
            <color rgb="FF000000"/>
            <rFont val="Tahoma"/>
            <family val="2"/>
          </rPr>
          <t>Colin Baird:</t>
        </r>
        <r>
          <rPr>
            <sz val="10"/>
            <color rgb="FF000000"/>
            <rFont val="Tahoma"/>
            <family val="2"/>
          </rPr>
          <t xml:space="preserve">
E.g., 32-bit lane packs 4 INT8 multiplies via dp4a-style instruction</t>
        </r>
      </text>
    </comment>
    <comment ref="E16" authorId="0" shapeId="0" xr:uid="{45C201CD-2C50-7845-8D4F-EFE0AA95E00F}">
      <text>
        <r>
          <rPr>
            <b/>
            <sz val="10"/>
            <color rgb="FF000000"/>
            <rFont val="Tahoma"/>
            <family val="2"/>
          </rPr>
          <t>Colin Baird:</t>
        </r>
        <r>
          <rPr>
            <sz val="10"/>
            <color rgb="FF000000"/>
            <rFont val="Tahoma"/>
            <family val="2"/>
          </rPr>
          <t xml:space="preserve">
Lower bound: even with full overlap, scheduler can only issue one instruction per cycle</t>
        </r>
      </text>
    </comment>
    <comment ref="E17" authorId="0" shapeId="0" xr:uid="{5D1AA5D1-C59F-9C4E-A209-A5B0C1396879}">
      <text>
        <r>
          <rPr>
            <b/>
            <sz val="10"/>
            <color rgb="FF000000"/>
            <rFont val="Tahoma"/>
            <family val="2"/>
          </rPr>
          <t>Colin Baird:</t>
        </r>
        <r>
          <rPr>
            <sz val="10"/>
            <color rgb="FF000000"/>
            <rFont val="Tahoma"/>
            <family val="2"/>
          </rPr>
          <t xml:space="preserve">
Assumes perfect overlap of independent instruction types on different functional units</t>
        </r>
      </text>
    </comment>
    <comment ref="E23" authorId="0" shapeId="0" xr:uid="{8C4EBE3D-8A64-1741-973B-2FF5CC8547D1}">
      <text>
        <r>
          <rPr>
            <b/>
            <sz val="10"/>
            <color rgb="FF000000"/>
            <rFont val="Tahoma"/>
            <family val="2"/>
          </rPr>
          <t>Colin Baird:</t>
        </r>
        <r>
          <rPr>
            <sz val="10"/>
            <color rgb="FF000000"/>
            <rFont val="Tahoma"/>
            <family val="2"/>
          </rPr>
          <t xml:space="preserve">
Weighted by fraction of loads that are weights vs activations</t>
        </r>
      </text>
    </comment>
    <comment ref="E26" authorId="0" shapeId="0" xr:uid="{0EB6990D-A497-E74A-9F3E-6CB42F47DE48}">
      <text>
        <r>
          <rPr>
            <b/>
            <sz val="10"/>
            <color rgb="FF000000"/>
            <rFont val="Tahoma"/>
            <family val="2"/>
          </rPr>
          <t>Colin Baird:</t>
        </r>
        <r>
          <rPr>
            <sz val="10"/>
            <color rgb="FF000000"/>
            <rFont val="Tahoma"/>
            <family val="2"/>
          </rPr>
          <t xml:space="preserve">
Other warps can execute while one is stalled on a miss. (N_warps-1) warps provide compute to hide latency.</t>
        </r>
      </text>
    </comment>
  </commentList>
</comments>
</file>

<file path=xl/sharedStrings.xml><?xml version="1.0" encoding="utf-8"?>
<sst xmlns="http://schemas.openxmlformats.org/spreadsheetml/2006/main" count="251" uniqueCount="209">
  <si>
    <t>Parameter</t>
  </si>
  <si>
    <t>Symbol</t>
  </si>
  <si>
    <t>Value</t>
  </si>
  <si>
    <t>Unit</t>
  </si>
  <si>
    <t>Notes</t>
  </si>
  <si>
    <t>CLOCK &amp; FPGA</t>
  </si>
  <si>
    <t>Core clock frequency</t>
  </si>
  <si>
    <t>f_clk</t>
  </si>
  <si>
    <t>MHz</t>
  </si>
  <si>
    <t>Target frequency on FPGA</t>
  </si>
  <si>
    <t>bram_avail</t>
  </si>
  <si>
    <t>blocks</t>
  </si>
  <si>
    <t>For resource sanity check</t>
  </si>
  <si>
    <t>FPGA DSP slices available</t>
  </si>
  <si>
    <t>dsp_avail</t>
  </si>
  <si>
    <t>slices</t>
  </si>
  <si>
    <t>WARP CONFIGURATION</t>
  </si>
  <si>
    <t>Warp size (threads per warp)</t>
  </si>
  <si>
    <t>T_warp</t>
  </si>
  <si>
    <t>threads</t>
  </si>
  <si>
    <t>Resident warps per SM</t>
  </si>
  <si>
    <t>N_warps</t>
  </si>
  <si>
    <t>warps</t>
  </si>
  <si>
    <t>Range: 4–8</t>
  </si>
  <si>
    <t>Registers per thread</t>
  </si>
  <si>
    <t>N_regs</t>
  </si>
  <si>
    <t>registers</t>
  </si>
  <si>
    <t>32-bit each</t>
  </si>
  <si>
    <t>EXECUTION UNIT WIDTHS</t>
  </si>
  <si>
    <t>ALU width</t>
  </si>
  <si>
    <t>W_alu</t>
  </si>
  <si>
    <t>threads/cycle</t>
  </si>
  <si>
    <t>Single-cycle ops: add, sub, shift, logic</t>
  </si>
  <si>
    <t>Multiply unit width</t>
  </si>
  <si>
    <t>W_mul</t>
  </si>
  <si>
    <t>Each lane uses 1 DSP slice</t>
  </si>
  <si>
    <t>Multiply operand bitwidth</t>
  </si>
  <si>
    <t>B_mul</t>
  </si>
  <si>
    <t>bits</t>
  </si>
  <si>
    <t>LD/ST unit count</t>
  </si>
  <si>
    <t>W_ldst</t>
  </si>
  <si>
    <t>units</t>
  </si>
  <si>
    <t>For address generation</t>
  </si>
  <si>
    <t>ALU latency</t>
  </si>
  <si>
    <t>L_alu</t>
  </si>
  <si>
    <t>cycles</t>
  </si>
  <si>
    <t>Single-cycle for all ALU ops</t>
  </si>
  <si>
    <t>Multiply pipeline depth</t>
  </si>
  <si>
    <t>L_mul</t>
  </si>
  <si>
    <t>Pipelined: accepts new op every cycle</t>
  </si>
  <si>
    <t>Divide latency</t>
  </si>
  <si>
    <t>L_div</t>
  </si>
  <si>
    <t>Iterative, blocks the unit</t>
  </si>
  <si>
    <t>Instruction fetch latency (hit)</t>
  </si>
  <si>
    <t>L_fetch</t>
  </si>
  <si>
    <t>Instruction decode latency</t>
  </si>
  <si>
    <t>L_decode</t>
  </si>
  <si>
    <t>L1 cache hit latency</t>
  </si>
  <si>
    <t>L_l1_hit</t>
  </si>
  <si>
    <t>From address gen complete to data available</t>
  </si>
  <si>
    <t>L1 cache miss penalty</t>
  </si>
  <si>
    <t>L_l1_miss</t>
  </si>
  <si>
    <t>Full round-trip to DRAM and back</t>
  </si>
  <si>
    <t>Coalescing latency per cache line</t>
  </si>
  <si>
    <t>L_coal</t>
  </si>
  <si>
    <t>Per cache-line request generated</t>
  </si>
  <si>
    <t>MEMORY SYSTEM</t>
  </si>
  <si>
    <t>FPGA BRAM (18Kb blocks) available</t>
  </si>
  <si>
    <t>Native bitwidth of each multiply lane</t>
  </si>
  <si>
    <t>PIPELINE LATENCIES</t>
  </si>
  <si>
    <t>L1 cache size</t>
  </si>
  <si>
    <t>S_l1</t>
  </si>
  <si>
    <t>KB</t>
  </si>
  <si>
    <t>Direct-mapped, write-through</t>
  </si>
  <si>
    <t>L1 cache line size</t>
  </si>
  <si>
    <t>S_line</t>
  </si>
  <si>
    <t>bytes</t>
  </si>
  <si>
    <t>Number of MSHRs</t>
  </si>
  <si>
    <t>N_mshr</t>
  </si>
  <si>
    <t>count</t>
  </si>
  <si>
    <t>Outstanding miss tracking</t>
  </si>
  <si>
    <t>External memory bandwidth</t>
  </si>
  <si>
    <t>BW_dram</t>
  </si>
  <si>
    <t>GB/s</t>
  </si>
  <si>
    <t>E.g., 16-bit DDR3-1600</t>
  </si>
  <si>
    <t>External memory access latency</t>
  </si>
  <si>
    <t>L_dram</t>
  </si>
  <si>
    <t>One-way latency; miss penalty ≈ 2× this</t>
  </si>
  <si>
    <t>WORKLOAD: MATMUL KERNEL (C = A × B, INT8 → INT32)</t>
  </si>
  <si>
    <t>Matrix M (rows of A / rows of C)</t>
  </si>
  <si>
    <t>M</t>
  </si>
  <si>
    <t>elements</t>
  </si>
  <si>
    <t>Matrix N (cols of B / cols of C)</t>
  </si>
  <si>
    <t>N</t>
  </si>
  <si>
    <t>Matrix K (cols of A / rows of B)</t>
  </si>
  <si>
    <t>K</t>
  </si>
  <si>
    <t>Inner dimension</t>
  </si>
  <si>
    <t>Tile size M (rows per tile)</t>
  </si>
  <si>
    <t>T_m</t>
  </si>
  <si>
    <t>Tile assigned to one warp</t>
  </si>
  <si>
    <t>Tile size N (cols per tile)</t>
  </si>
  <si>
    <t>T_n</t>
  </si>
  <si>
    <t>Tile size K (inner loop step)</t>
  </si>
  <si>
    <t>T_k</t>
  </si>
  <si>
    <t>Loaded per iteration</t>
  </si>
  <si>
    <t>INSTRUCTION MIX PER INNER-LOOP ITERATION</t>
  </si>
  <si>
    <t>Load instructions per iteration</t>
  </si>
  <si>
    <t>I_load</t>
  </si>
  <si>
    <t>instructions</t>
  </si>
  <si>
    <t>Loading A tile + B tile</t>
  </si>
  <si>
    <t>Store instructions per iteration</t>
  </si>
  <si>
    <t>I_store</t>
  </si>
  <si>
    <t>Stores only on final iteration</t>
  </si>
  <si>
    <t>Multiply instructions per iteration</t>
  </si>
  <si>
    <t>I_mul</t>
  </si>
  <si>
    <t>T_m × T_n INT8 multiplies, packed</t>
  </si>
  <si>
    <t>ALU instructions per iteration</t>
  </si>
  <si>
    <t>I_alu</t>
  </si>
  <si>
    <t>Accumulates + address arithmetic</t>
  </si>
  <si>
    <t>Divide instructions per iteration</t>
  </si>
  <si>
    <t>I_div</t>
  </si>
  <si>
    <t>Typically none in matmul</t>
  </si>
  <si>
    <t>Store instructions for writeback (total)</t>
  </si>
  <si>
    <t>I_store_wb</t>
  </si>
  <si>
    <t>Writing output tile to memory</t>
  </si>
  <si>
    <t>Weight load fraction</t>
  </si>
  <si>
    <t>f_weight</t>
  </si>
  <si>
    <t>fraction</t>
  </si>
  <si>
    <t>Fraction of loads that are weights (vs activations)</t>
  </si>
  <si>
    <t>MEMORY ACCESS PATTERN</t>
  </si>
  <si>
    <t>L1 hit rate for weight loads</t>
  </si>
  <si>
    <t>HR_weight</t>
  </si>
  <si>
    <t>Large weight matrix, mostly streaming</t>
  </si>
  <si>
    <t>L1 hit rate for activation loads</t>
  </si>
  <si>
    <t>HR_act</t>
  </si>
  <si>
    <t>Activation tile may be reused</t>
  </si>
  <si>
    <t>Average cache lines per coalesced load</t>
  </si>
  <si>
    <t>CL_per_load</t>
  </si>
  <si>
    <t>1.0 = perfectly coalesced; higher = worse</t>
  </si>
  <si>
    <t>Metric</t>
  </si>
  <si>
    <t>Formula / Value</t>
  </si>
  <si>
    <t>Notes / Assumptions</t>
  </si>
  <si>
    <t>SECTION A: DRAIN CYCLES PER INSTRUCTION TYPE</t>
  </si>
  <si>
    <t>Drain cycles: ALU</t>
  </si>
  <si>
    <t>drain_alu</t>
  </si>
  <si>
    <t>Cycles to issue all warp threads through ALU</t>
  </si>
  <si>
    <t>Drain cycles: Multiply</t>
  </si>
  <si>
    <t>drain_mul</t>
  </si>
  <si>
    <t>Issue time only; pipeline latency is separate</t>
  </si>
  <si>
    <t>Drain cycles: LD/ST</t>
  </si>
  <si>
    <t>drain_ldst</t>
  </si>
  <si>
    <t>Cycles to issue all warp threads through LD/ST</t>
  </si>
  <si>
    <t>Drain cycles: Divide</t>
  </si>
  <si>
    <t>drain_div</t>
  </si>
  <si>
    <t>Iterative, blocks unit for L_div cycles</t>
  </si>
  <si>
    <t>INT8 packing factor</t>
  </si>
  <si>
    <t>int8_pack</t>
  </si>
  <si>
    <t>INT8 ops/lane/cycle</t>
  </si>
  <si>
    <t>B_mul / 8: INT8 multiplies per lane per cycle</t>
  </si>
  <si>
    <t>INT8 ops per cycle (all lanes)</t>
  </si>
  <si>
    <t>int8_ops_per_cycle</t>
  </si>
  <si>
    <t>INT8 MACs/cycle</t>
  </si>
  <si>
    <t>W_mul × int8_pack</t>
  </si>
  <si>
    <t>Total instructions per iteration</t>
  </si>
  <si>
    <t>total_instr</t>
  </si>
  <si>
    <t>I_load + I_store + I_mul + I_alu + I_div</t>
  </si>
  <si>
    <t>SECTION B: CYCLES PER INNER-LOOP ITERATION (Single Warp, No Stalls)</t>
  </si>
  <si>
    <t>Time on ALU unit</t>
  </si>
  <si>
    <t>T_alu_iter</t>
  </si>
  <si>
    <t>I_alu × drain_alu</t>
  </si>
  <si>
    <t>Time on Multiply unit</t>
  </si>
  <si>
    <t>T_mul_iter</t>
  </si>
  <si>
    <t>I_mul × drain_mul</t>
  </si>
  <si>
    <t>Time on LD/ST unit</t>
  </si>
  <si>
    <t>T_ldst_iter</t>
  </si>
  <si>
    <t>I_load × drain_ldst (stores=0 in inner loop)</t>
  </si>
  <si>
    <t>Time on Divide unit</t>
  </si>
  <si>
    <t>T_div_iter</t>
  </si>
  <si>
    <t>I_div × drain_div</t>
  </si>
  <si>
    <t>Min issue cycles (1 instr/cycle scheduler)</t>
  </si>
  <si>
    <t>T_issue_min</t>
  </si>
  <si>
    <t>Warp scheduler issues one instruction per cycle</t>
  </si>
  <si>
    <t>Compute iteration time (single warp)</t>
  </si>
  <si>
    <t>T_iter_compute</t>
  </si>
  <si>
    <t>MAX of all FU times and min issue time</t>
  </si>
  <si>
    <t>SECTION C: MEMORY LATENCY PER ITERATION</t>
  </si>
  <si>
    <t>Total loads per iteration</t>
  </si>
  <si>
    <t>loads_total</t>
  </si>
  <si>
    <t>loads</t>
  </si>
  <si>
    <t>Weight loads per iteration</t>
  </si>
  <si>
    <t>loads_weight</t>
  </si>
  <si>
    <t>loads_total × f_weight</t>
  </si>
  <si>
    <t>Activation loads per iteration</t>
  </si>
  <si>
    <t>loads_act</t>
  </si>
  <si>
    <t>loads_total × (1 - f_weight)</t>
  </si>
  <si>
    <t>Effective miss rate (weighted)</t>
  </si>
  <si>
    <t>miss_rate</t>
  </si>
  <si>
    <t>1 - weighted avg of hit rates</t>
  </si>
  <si>
    <t>Misses per iteration</t>
  </si>
  <si>
    <t>misses_iter</t>
  </si>
  <si>
    <t>misses</t>
  </si>
  <si>
    <t>loads_total × CL_per_load × miss_rate</t>
  </si>
  <si>
    <t>Total memory stall cycles (raw)</t>
  </si>
  <si>
    <t>mem_stall_raw</t>
  </si>
  <si>
    <t>misses_iter × L_l1_miss</t>
  </si>
  <si>
    <t>Memory cycles exposed (after latency hiding)</t>
  </si>
  <si>
    <t>mem_cycles_exposed</t>
  </si>
  <si>
    <t>MAX(0, stall - (N_warps-1)×T_iter_compute)</t>
  </si>
  <si>
    <t>SECTION D: EFFECTIVE ITERATION TIME (with Memory Stalls)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</si>
</sst>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2"/>
      <color rgb="FF88888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2" fontId="4" fillId="0" borderId="0" xfId="0" applyNumberFormat="1" applyFont="1"/>
    <xf numFmtId="164" fontId="4" fillId="0" borderId="0" xfId="0" applyNumberFormat="1" applyFont="1"/>
    <xf numFmtId="0" fontId="1" fillId="2" borderId="0" xfId="0" applyFont="1" applyFill="1" applyAlignment="1">
      <alignment horizont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701031-774C-D44F-A760-9357CC696A9D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4C59-1A86-DF47-8609-5A9763FD6FB7}">
  <dimension ref="A1:F55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6.6640625" customWidth="1"/>
    <col min="2" max="2" width="15" customWidth="1"/>
    <col min="3" max="3" width="12.5" customWidth="1"/>
    <col min="4" max="4" width="15" customWidth="1"/>
    <col min="5" max="5" width="46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">
      <c r="A2" s="3" t="s">
        <v>5</v>
      </c>
      <c r="B2" s="4"/>
      <c r="C2" s="4"/>
      <c r="D2" s="4"/>
      <c r="E2" s="4"/>
      <c r="F2" s="4"/>
    </row>
    <row r="3" spans="1:6" x14ac:dyDescent="0.2">
      <c r="A3" t="s">
        <v>6</v>
      </c>
      <c r="B3" t="s">
        <v>7</v>
      </c>
      <c r="C3" s="5">
        <v>200</v>
      </c>
      <c r="D3" t="s">
        <v>8</v>
      </c>
      <c r="E3" t="s">
        <v>9</v>
      </c>
    </row>
    <row r="4" spans="1:6" x14ac:dyDescent="0.2">
      <c r="A4" t="s">
        <v>67</v>
      </c>
      <c r="B4" t="s">
        <v>10</v>
      </c>
      <c r="C4" s="5">
        <v>280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C5" s="5">
        <v>220</v>
      </c>
      <c r="D5" t="s">
        <v>15</v>
      </c>
      <c r="E5" t="s">
        <v>12</v>
      </c>
    </row>
    <row r="7" spans="1:6" x14ac:dyDescent="0.2">
      <c r="A7" s="3" t="s">
        <v>16</v>
      </c>
      <c r="B7" s="4"/>
      <c r="C7" s="4"/>
      <c r="D7" s="4"/>
      <c r="E7" s="4"/>
      <c r="F7" s="4"/>
    </row>
    <row r="8" spans="1:6" x14ac:dyDescent="0.2">
      <c r="A8" t="s">
        <v>17</v>
      </c>
      <c r="B8" t="s">
        <v>18</v>
      </c>
      <c r="C8" s="5">
        <v>32</v>
      </c>
      <c r="D8" t="s">
        <v>19</v>
      </c>
    </row>
    <row r="9" spans="1:6" x14ac:dyDescent="0.2">
      <c r="A9" t="s">
        <v>20</v>
      </c>
      <c r="B9" t="s">
        <v>21</v>
      </c>
      <c r="C9" s="5">
        <v>4</v>
      </c>
      <c r="D9" t="s">
        <v>22</v>
      </c>
      <c r="E9" t="s">
        <v>23</v>
      </c>
    </row>
    <row r="10" spans="1:6" x14ac:dyDescent="0.2">
      <c r="A10" t="s">
        <v>24</v>
      </c>
      <c r="B10" t="s">
        <v>25</v>
      </c>
      <c r="C10" s="5">
        <v>32</v>
      </c>
      <c r="D10" t="s">
        <v>26</v>
      </c>
      <c r="E10" t="s">
        <v>27</v>
      </c>
    </row>
    <row r="12" spans="1:6" x14ac:dyDescent="0.2">
      <c r="A12" s="3" t="s">
        <v>28</v>
      </c>
      <c r="B12" s="4"/>
      <c r="C12" s="4"/>
      <c r="D12" s="4"/>
      <c r="E12" s="4"/>
      <c r="F12" s="4"/>
    </row>
    <row r="13" spans="1:6" x14ac:dyDescent="0.2">
      <c r="A13" t="s">
        <v>29</v>
      </c>
      <c r="B13" t="s">
        <v>30</v>
      </c>
      <c r="C13" s="5">
        <v>16</v>
      </c>
      <c r="D13" t="s">
        <v>31</v>
      </c>
      <c r="E13" t="s">
        <v>32</v>
      </c>
    </row>
    <row r="14" spans="1:6" x14ac:dyDescent="0.2">
      <c r="A14" t="s">
        <v>33</v>
      </c>
      <c r="B14" t="s">
        <v>34</v>
      </c>
      <c r="C14" s="5">
        <v>8</v>
      </c>
      <c r="D14" t="s">
        <v>31</v>
      </c>
      <c r="E14" t="s">
        <v>35</v>
      </c>
    </row>
    <row r="15" spans="1:6" x14ac:dyDescent="0.2">
      <c r="A15" t="s">
        <v>36</v>
      </c>
      <c r="B15" t="s">
        <v>37</v>
      </c>
      <c r="C15" s="5">
        <v>32</v>
      </c>
      <c r="D15" t="s">
        <v>38</v>
      </c>
      <c r="E15" t="s">
        <v>68</v>
      </c>
    </row>
    <row r="16" spans="1:6" x14ac:dyDescent="0.2">
      <c r="A16" t="s">
        <v>39</v>
      </c>
      <c r="B16" t="s">
        <v>40</v>
      </c>
      <c r="C16" s="5">
        <v>8</v>
      </c>
      <c r="D16" t="s">
        <v>41</v>
      </c>
      <c r="E16" t="s">
        <v>42</v>
      </c>
    </row>
    <row r="18" spans="1:6" x14ac:dyDescent="0.2">
      <c r="A18" s="3" t="s">
        <v>69</v>
      </c>
      <c r="B18" s="4"/>
      <c r="C18" s="4"/>
      <c r="D18" s="4"/>
      <c r="E18" s="4"/>
      <c r="F18" s="4"/>
    </row>
    <row r="19" spans="1:6" x14ac:dyDescent="0.2">
      <c r="A19" t="s">
        <v>43</v>
      </c>
      <c r="B19" t="s">
        <v>44</v>
      </c>
      <c r="C19" s="5">
        <v>1</v>
      </c>
      <c r="D19" t="s">
        <v>45</v>
      </c>
      <c r="E19" t="s">
        <v>46</v>
      </c>
    </row>
    <row r="20" spans="1:6" x14ac:dyDescent="0.2">
      <c r="A20" t="s">
        <v>47</v>
      </c>
      <c r="B20" t="s">
        <v>48</v>
      </c>
      <c r="C20" s="5">
        <v>4</v>
      </c>
      <c r="D20" t="s">
        <v>45</v>
      </c>
      <c r="E20" t="s">
        <v>49</v>
      </c>
    </row>
    <row r="21" spans="1:6" x14ac:dyDescent="0.2">
      <c r="A21" t="s">
        <v>50</v>
      </c>
      <c r="B21" t="s">
        <v>51</v>
      </c>
      <c r="C21" s="5">
        <v>32</v>
      </c>
      <c r="D21" t="s">
        <v>45</v>
      </c>
      <c r="E21" t="s">
        <v>52</v>
      </c>
    </row>
    <row r="22" spans="1:6" x14ac:dyDescent="0.2">
      <c r="A22" t="s">
        <v>53</v>
      </c>
      <c r="B22" t="s">
        <v>54</v>
      </c>
      <c r="C22" s="5">
        <v>1</v>
      </c>
      <c r="D22" t="s">
        <v>45</v>
      </c>
    </row>
    <row r="23" spans="1:6" x14ac:dyDescent="0.2">
      <c r="A23" t="s">
        <v>55</v>
      </c>
      <c r="B23" t="s">
        <v>56</v>
      </c>
      <c r="C23" s="5">
        <v>1</v>
      </c>
      <c r="D23" t="s">
        <v>45</v>
      </c>
    </row>
    <row r="24" spans="1:6" x14ac:dyDescent="0.2">
      <c r="A24" t="s">
        <v>57</v>
      </c>
      <c r="B24" t="s">
        <v>58</v>
      </c>
      <c r="C24" s="5">
        <v>2</v>
      </c>
      <c r="D24" t="s">
        <v>45</v>
      </c>
      <c r="E24" t="s">
        <v>59</v>
      </c>
    </row>
    <row r="25" spans="1:6" x14ac:dyDescent="0.2">
      <c r="A25" t="s">
        <v>60</v>
      </c>
      <c r="B25" t="s">
        <v>61</v>
      </c>
      <c r="C25" s="5">
        <v>100</v>
      </c>
      <c r="D25" t="s">
        <v>45</v>
      </c>
      <c r="E25" t="s">
        <v>62</v>
      </c>
    </row>
    <row r="26" spans="1:6" x14ac:dyDescent="0.2">
      <c r="A26" t="s">
        <v>63</v>
      </c>
      <c r="B26" t="s">
        <v>64</v>
      </c>
      <c r="C26" s="5">
        <v>1</v>
      </c>
      <c r="D26" t="s">
        <v>45</v>
      </c>
      <c r="E26" t="s">
        <v>65</v>
      </c>
    </row>
    <row r="28" spans="1:6" x14ac:dyDescent="0.2">
      <c r="A28" s="3" t="s">
        <v>66</v>
      </c>
      <c r="B28" s="4"/>
      <c r="C28" s="4"/>
      <c r="D28" s="4"/>
      <c r="E28" s="4"/>
      <c r="F28" s="4"/>
    </row>
    <row r="29" spans="1:6" x14ac:dyDescent="0.2">
      <c r="A29" t="s">
        <v>70</v>
      </c>
      <c r="B29" t="s">
        <v>71</v>
      </c>
      <c r="C29" s="5">
        <v>4</v>
      </c>
      <c r="D29" t="s">
        <v>72</v>
      </c>
      <c r="E29" t="s">
        <v>73</v>
      </c>
    </row>
    <row r="30" spans="1:6" x14ac:dyDescent="0.2">
      <c r="A30" t="s">
        <v>74</v>
      </c>
      <c r="B30" t="s">
        <v>75</v>
      </c>
      <c r="C30" s="5">
        <v>128</v>
      </c>
      <c r="D30" t="s">
        <v>76</v>
      </c>
    </row>
    <row r="31" spans="1:6" x14ac:dyDescent="0.2">
      <c r="A31" t="s">
        <v>77</v>
      </c>
      <c r="B31" t="s">
        <v>78</v>
      </c>
      <c r="C31" s="5">
        <v>2</v>
      </c>
      <c r="D31" t="s">
        <v>79</v>
      </c>
      <c r="E31" t="s">
        <v>80</v>
      </c>
    </row>
    <row r="32" spans="1:6" x14ac:dyDescent="0.2">
      <c r="A32" t="s">
        <v>81</v>
      </c>
      <c r="B32" t="s">
        <v>82</v>
      </c>
      <c r="C32" s="5">
        <v>3.2</v>
      </c>
      <c r="D32" t="s">
        <v>83</v>
      </c>
      <c r="E32" t="s">
        <v>84</v>
      </c>
    </row>
    <row r="33" spans="1:6" x14ac:dyDescent="0.2">
      <c r="A33" t="s">
        <v>85</v>
      </c>
      <c r="B33" t="s">
        <v>86</v>
      </c>
      <c r="C33" s="5">
        <v>80</v>
      </c>
      <c r="D33" t="s">
        <v>45</v>
      </c>
      <c r="E33" t="s">
        <v>87</v>
      </c>
    </row>
    <row r="34" spans="1:6" x14ac:dyDescent="0.2">
      <c r="A34" s="6"/>
    </row>
    <row r="35" spans="1:6" x14ac:dyDescent="0.2">
      <c r="A35" s="3" t="s">
        <v>88</v>
      </c>
      <c r="B35" s="4"/>
      <c r="C35" s="4"/>
      <c r="D35" s="4"/>
      <c r="E35" s="4"/>
      <c r="F35" s="4"/>
    </row>
    <row r="36" spans="1:6" x14ac:dyDescent="0.2">
      <c r="A36" t="s">
        <v>89</v>
      </c>
      <c r="B36" t="s">
        <v>90</v>
      </c>
      <c r="C36" s="5">
        <v>128</v>
      </c>
      <c r="D36" t="s">
        <v>91</v>
      </c>
    </row>
    <row r="37" spans="1:6" x14ac:dyDescent="0.2">
      <c r="A37" t="s">
        <v>92</v>
      </c>
      <c r="B37" t="s">
        <v>93</v>
      </c>
      <c r="C37" s="5">
        <v>128</v>
      </c>
      <c r="D37" t="s">
        <v>91</v>
      </c>
    </row>
    <row r="38" spans="1:6" x14ac:dyDescent="0.2">
      <c r="A38" t="s">
        <v>94</v>
      </c>
      <c r="B38" t="s">
        <v>95</v>
      </c>
      <c r="C38" s="5">
        <v>128</v>
      </c>
      <c r="D38" t="s">
        <v>91</v>
      </c>
      <c r="E38" t="s">
        <v>96</v>
      </c>
    </row>
    <row r="39" spans="1:6" x14ac:dyDescent="0.2">
      <c r="A39" t="s">
        <v>97</v>
      </c>
      <c r="B39" t="s">
        <v>98</v>
      </c>
      <c r="C39" s="5">
        <v>16</v>
      </c>
      <c r="D39" t="s">
        <v>91</v>
      </c>
      <c r="E39" t="s">
        <v>99</v>
      </c>
    </row>
    <row r="40" spans="1:6" x14ac:dyDescent="0.2">
      <c r="A40" t="s">
        <v>100</v>
      </c>
      <c r="B40" t="s">
        <v>101</v>
      </c>
      <c r="C40" s="5">
        <v>16</v>
      </c>
      <c r="D40" t="s">
        <v>91</v>
      </c>
    </row>
    <row r="41" spans="1:6" x14ac:dyDescent="0.2">
      <c r="A41" t="s">
        <v>102</v>
      </c>
      <c r="B41" t="s">
        <v>103</v>
      </c>
      <c r="C41" s="5">
        <v>16</v>
      </c>
      <c r="D41" t="s">
        <v>91</v>
      </c>
      <c r="E41" t="s">
        <v>104</v>
      </c>
    </row>
    <row r="43" spans="1:6" x14ac:dyDescent="0.2">
      <c r="A43" s="3" t="s">
        <v>105</v>
      </c>
      <c r="B43" s="4"/>
      <c r="C43" s="4"/>
      <c r="D43" s="4"/>
      <c r="E43" s="4"/>
      <c r="F43" s="4"/>
    </row>
    <row r="44" spans="1:6" x14ac:dyDescent="0.2">
      <c r="A44" t="s">
        <v>106</v>
      </c>
      <c r="B44" t="s">
        <v>107</v>
      </c>
      <c r="C44" s="5">
        <v>4</v>
      </c>
      <c r="D44" t="s">
        <v>108</v>
      </c>
      <c r="E44" t="s">
        <v>109</v>
      </c>
    </row>
    <row r="45" spans="1:6" x14ac:dyDescent="0.2">
      <c r="A45" t="s">
        <v>110</v>
      </c>
      <c r="B45" t="s">
        <v>111</v>
      </c>
      <c r="C45" s="5">
        <v>0</v>
      </c>
      <c r="D45" t="s">
        <v>108</v>
      </c>
      <c r="E45" t="s">
        <v>112</v>
      </c>
    </row>
    <row r="46" spans="1:6" x14ac:dyDescent="0.2">
      <c r="A46" t="s">
        <v>113</v>
      </c>
      <c r="B46" t="s">
        <v>114</v>
      </c>
      <c r="C46" s="5">
        <v>4</v>
      </c>
      <c r="D46" t="s">
        <v>108</v>
      </c>
      <c r="E46" t="s">
        <v>115</v>
      </c>
    </row>
    <row r="47" spans="1:6" x14ac:dyDescent="0.2">
      <c r="A47" t="s">
        <v>116</v>
      </c>
      <c r="B47" t="s">
        <v>117</v>
      </c>
      <c r="C47" s="5">
        <v>4</v>
      </c>
      <c r="D47" t="s">
        <v>108</v>
      </c>
      <c r="E47" t="s">
        <v>118</v>
      </c>
    </row>
    <row r="48" spans="1:6" x14ac:dyDescent="0.2">
      <c r="A48" t="s">
        <v>119</v>
      </c>
      <c r="B48" t="s">
        <v>120</v>
      </c>
      <c r="C48" s="5">
        <v>0</v>
      </c>
      <c r="D48" t="s">
        <v>108</v>
      </c>
      <c r="E48" t="s">
        <v>121</v>
      </c>
    </row>
    <row r="49" spans="1:6" x14ac:dyDescent="0.2">
      <c r="A49" t="s">
        <v>122</v>
      </c>
      <c r="B49" t="s">
        <v>123</v>
      </c>
      <c r="C49" s="5">
        <v>4</v>
      </c>
      <c r="D49" t="s">
        <v>108</v>
      </c>
      <c r="E49" t="s">
        <v>124</v>
      </c>
    </row>
    <row r="50" spans="1:6" x14ac:dyDescent="0.2">
      <c r="A50" t="s">
        <v>125</v>
      </c>
      <c r="B50" t="s">
        <v>126</v>
      </c>
      <c r="C50" s="7">
        <v>0.5</v>
      </c>
      <c r="D50" t="s">
        <v>127</v>
      </c>
      <c r="E50" t="s">
        <v>128</v>
      </c>
    </row>
    <row r="52" spans="1:6" x14ac:dyDescent="0.2">
      <c r="A52" s="3" t="s">
        <v>129</v>
      </c>
      <c r="B52" s="4"/>
      <c r="C52" s="4"/>
      <c r="D52" s="4"/>
      <c r="E52" s="4"/>
      <c r="F52" s="4"/>
    </row>
    <row r="53" spans="1:6" x14ac:dyDescent="0.2">
      <c r="A53" t="s">
        <v>130</v>
      </c>
      <c r="B53" t="s">
        <v>131</v>
      </c>
      <c r="C53" s="7">
        <v>0.1</v>
      </c>
      <c r="D53" t="s">
        <v>127</v>
      </c>
      <c r="E53" t="s">
        <v>132</v>
      </c>
    </row>
    <row r="54" spans="1:6" x14ac:dyDescent="0.2">
      <c r="A54" t="s">
        <v>133</v>
      </c>
      <c r="B54" t="s">
        <v>134</v>
      </c>
      <c r="C54" s="7">
        <v>0.5</v>
      </c>
      <c r="D54" t="s">
        <v>127</v>
      </c>
      <c r="E54" t="s">
        <v>135</v>
      </c>
    </row>
    <row r="55" spans="1:6" x14ac:dyDescent="0.2">
      <c r="A55" t="s">
        <v>136</v>
      </c>
      <c r="B55" t="s">
        <v>137</v>
      </c>
      <c r="C55" s="8">
        <v>1</v>
      </c>
      <c r="D55" t="s">
        <v>79</v>
      </c>
      <c r="E55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4738-7327-2149-869F-AF474CE0F6DA}">
  <dimension ref="A1:E28"/>
  <sheetViews>
    <sheetView workbookViewId="0"/>
  </sheetViews>
  <sheetFormatPr baseColWidth="10" defaultRowHeight="16" x14ac:dyDescent="0.2"/>
  <sheetData>
    <row r="1" spans="1:5" x14ac:dyDescent="0.2">
      <c r="A1" s="9" t="s">
        <v>139</v>
      </c>
      <c r="B1" s="9" t="s">
        <v>1</v>
      </c>
      <c r="C1" s="9" t="s">
        <v>140</v>
      </c>
      <c r="D1" s="9" t="s">
        <v>3</v>
      </c>
      <c r="E1" s="9" t="s">
        <v>141</v>
      </c>
    </row>
    <row r="2" spans="1:5" x14ac:dyDescent="0.2">
      <c r="A2" s="10" t="s">
        <v>142</v>
      </c>
      <c r="B2" s="4"/>
      <c r="C2" s="4"/>
      <c r="D2" s="4"/>
      <c r="E2" s="4"/>
    </row>
    <row r="3" spans="1:5" x14ac:dyDescent="0.2">
      <c r="A3" t="s">
        <v>143</v>
      </c>
      <c r="B3" t="s">
        <v>144</v>
      </c>
      <c r="C3">
        <f>CEILING(Parameters!C8/Parameters!C13,1)</f>
        <v>2</v>
      </c>
      <c r="D3" t="s">
        <v>45</v>
      </c>
      <c r="E3" t="s">
        <v>145</v>
      </c>
    </row>
    <row r="4" spans="1:5" x14ac:dyDescent="0.2">
      <c r="A4" t="s">
        <v>146</v>
      </c>
      <c r="B4" t="s">
        <v>147</v>
      </c>
      <c r="C4">
        <f>CEILING(Parameters!C8/Parameters!C14,1)</f>
        <v>4</v>
      </c>
      <c r="D4" t="s">
        <v>45</v>
      </c>
      <c r="E4" t="s">
        <v>148</v>
      </c>
    </row>
    <row r="5" spans="1:5" x14ac:dyDescent="0.2">
      <c r="A5" t="s">
        <v>149</v>
      </c>
      <c r="B5" t="s">
        <v>150</v>
      </c>
      <c r="C5">
        <f>CEILING(Parameters!C8/Parameters!C16,1)</f>
        <v>4</v>
      </c>
      <c r="D5" t="s">
        <v>45</v>
      </c>
      <c r="E5" t="s">
        <v>151</v>
      </c>
    </row>
    <row r="6" spans="1:5" x14ac:dyDescent="0.2">
      <c r="A6" t="s">
        <v>152</v>
      </c>
      <c r="B6" t="s">
        <v>153</v>
      </c>
      <c r="C6">
        <f>Parameters!C21</f>
        <v>32</v>
      </c>
      <c r="D6" t="s">
        <v>45</v>
      </c>
      <c r="E6" t="s">
        <v>154</v>
      </c>
    </row>
    <row r="7" spans="1:5" x14ac:dyDescent="0.2">
      <c r="A7" t="s">
        <v>155</v>
      </c>
      <c r="B7" t="s">
        <v>156</v>
      </c>
      <c r="C7">
        <f>Parameters!C15/8</f>
        <v>4</v>
      </c>
      <c r="D7" t="s">
        <v>157</v>
      </c>
      <c r="E7" t="s">
        <v>158</v>
      </c>
    </row>
    <row r="8" spans="1:5" x14ac:dyDescent="0.2">
      <c r="A8" t="s">
        <v>159</v>
      </c>
      <c r="B8" t="s">
        <v>160</v>
      </c>
      <c r="C8">
        <f>Parameters!C14*C7</f>
        <v>32</v>
      </c>
      <c r="D8" t="s">
        <v>161</v>
      </c>
      <c r="E8" t="s">
        <v>162</v>
      </c>
    </row>
    <row r="9" spans="1:5" x14ac:dyDescent="0.2">
      <c r="A9" t="s">
        <v>163</v>
      </c>
      <c r="B9" t="s">
        <v>164</v>
      </c>
      <c r="C9">
        <f>Parameters!C44+Parameters!C45+Parameters!C46+Parameters!C47+Parameters!C48</f>
        <v>12</v>
      </c>
      <c r="D9" t="s">
        <v>108</v>
      </c>
      <c r="E9" t="s">
        <v>165</v>
      </c>
    </row>
    <row r="11" spans="1:5" x14ac:dyDescent="0.2">
      <c r="A11" s="10" t="s">
        <v>166</v>
      </c>
      <c r="B11" s="4"/>
      <c r="C11" s="4"/>
      <c r="D11" s="4"/>
      <c r="E11" s="4"/>
    </row>
    <row r="12" spans="1:5" x14ac:dyDescent="0.2">
      <c r="A12" t="s">
        <v>167</v>
      </c>
      <c r="B12" t="s">
        <v>168</v>
      </c>
      <c r="C12">
        <f>Parameters!C47*C3</f>
        <v>8</v>
      </c>
      <c r="D12" t="s">
        <v>45</v>
      </c>
      <c r="E12" t="s">
        <v>169</v>
      </c>
    </row>
    <row r="13" spans="1:5" x14ac:dyDescent="0.2">
      <c r="A13" t="s">
        <v>170</v>
      </c>
      <c r="B13" t="s">
        <v>171</v>
      </c>
      <c r="C13">
        <f>Parameters!C46*C4</f>
        <v>16</v>
      </c>
      <c r="D13" t="s">
        <v>45</v>
      </c>
      <c r="E13" t="s">
        <v>172</v>
      </c>
    </row>
    <row r="14" spans="1:5" x14ac:dyDescent="0.2">
      <c r="A14" t="s">
        <v>173</v>
      </c>
      <c r="B14" t="s">
        <v>174</v>
      </c>
      <c r="C14">
        <f>Parameters!C44*C5</f>
        <v>16</v>
      </c>
      <c r="D14" t="s">
        <v>45</v>
      </c>
      <c r="E14" t="s">
        <v>175</v>
      </c>
    </row>
    <row r="15" spans="1:5" x14ac:dyDescent="0.2">
      <c r="A15" t="s">
        <v>176</v>
      </c>
      <c r="B15" t="s">
        <v>177</v>
      </c>
      <c r="C15">
        <f>Parameters!C48*C6</f>
        <v>0</v>
      </c>
      <c r="D15" t="s">
        <v>45</v>
      </c>
      <c r="E15" t="s">
        <v>178</v>
      </c>
    </row>
    <row r="16" spans="1:5" x14ac:dyDescent="0.2">
      <c r="A16" t="s">
        <v>179</v>
      </c>
      <c r="B16" t="s">
        <v>180</v>
      </c>
      <c r="C16">
        <f>C9</f>
        <v>12</v>
      </c>
      <c r="D16" t="s">
        <v>45</v>
      </c>
      <c r="E16" t="s">
        <v>181</v>
      </c>
    </row>
    <row r="17" spans="1:5" x14ac:dyDescent="0.2">
      <c r="A17" t="s">
        <v>182</v>
      </c>
      <c r="B17" t="s">
        <v>183</v>
      </c>
      <c r="C17">
        <f>MAX(C12,C13,C14,C15,C16)</f>
        <v>16</v>
      </c>
      <c r="D17" t="s">
        <v>45</v>
      </c>
      <c r="E17" t="s">
        <v>184</v>
      </c>
    </row>
    <row r="19" spans="1:5" x14ac:dyDescent="0.2">
      <c r="A19" s="10" t="s">
        <v>185</v>
      </c>
      <c r="B19" s="4"/>
      <c r="C19" s="4"/>
      <c r="D19" s="4"/>
      <c r="E19" s="4"/>
    </row>
    <row r="20" spans="1:5" x14ac:dyDescent="0.2">
      <c r="A20" t="s">
        <v>186</v>
      </c>
      <c r="B20" t="s">
        <v>187</v>
      </c>
      <c r="C20">
        <f>Parameters!C44</f>
        <v>4</v>
      </c>
      <c r="D20" t="s">
        <v>188</v>
      </c>
      <c r="E20" t="s">
        <v>107</v>
      </c>
    </row>
    <row r="21" spans="1:5" x14ac:dyDescent="0.2">
      <c r="A21" t="s">
        <v>189</v>
      </c>
      <c r="B21" t="s">
        <v>190</v>
      </c>
      <c r="C21">
        <f>C20*Parameters!C50</f>
        <v>2</v>
      </c>
      <c r="D21" t="s">
        <v>188</v>
      </c>
      <c r="E21" t="s">
        <v>191</v>
      </c>
    </row>
    <row r="22" spans="1:5" x14ac:dyDescent="0.2">
      <c r="A22" t="s">
        <v>192</v>
      </c>
      <c r="B22" t="s">
        <v>193</v>
      </c>
      <c r="C22">
        <f>C20*(1-Parameters!C50)</f>
        <v>2</v>
      </c>
      <c r="D22" t="s">
        <v>188</v>
      </c>
      <c r="E22" t="s">
        <v>194</v>
      </c>
    </row>
    <row r="23" spans="1:5" x14ac:dyDescent="0.2">
      <c r="A23" t="s">
        <v>195</v>
      </c>
      <c r="B23" t="s">
        <v>196</v>
      </c>
      <c r="C23">
        <f>1-(C21/C20*Parameters!C53 + C22/C20*Parameters!C54)</f>
        <v>0.7</v>
      </c>
      <c r="D23" t="s">
        <v>127</v>
      </c>
      <c r="E23" t="s">
        <v>197</v>
      </c>
    </row>
    <row r="24" spans="1:5" x14ac:dyDescent="0.2">
      <c r="A24" t="s">
        <v>198</v>
      </c>
      <c r="B24" t="s">
        <v>199</v>
      </c>
      <c r="C24">
        <f>C20*Parameters!C55*C23</f>
        <v>2.8</v>
      </c>
      <c r="D24" t="s">
        <v>200</v>
      </c>
      <c r="E24" t="s">
        <v>201</v>
      </c>
    </row>
    <row r="25" spans="1:5" x14ac:dyDescent="0.2">
      <c r="A25" t="s">
        <v>202</v>
      </c>
      <c r="B25" t="s">
        <v>203</v>
      </c>
      <c r="C25">
        <f>C24*Parameters!C25</f>
        <v>280</v>
      </c>
      <c r="D25" t="s">
        <v>45</v>
      </c>
      <c r="E25" t="s">
        <v>204</v>
      </c>
    </row>
    <row r="26" spans="1:5" x14ac:dyDescent="0.2">
      <c r="A26" t="s">
        <v>205</v>
      </c>
      <c r="B26" t="s">
        <v>206</v>
      </c>
      <c r="C26">
        <f>MAX(0,C25-(Parameters!C9-1)*C17)</f>
        <v>232</v>
      </c>
      <c r="D26" t="s">
        <v>45</v>
      </c>
      <c r="E26" t="s">
        <v>207</v>
      </c>
    </row>
    <row r="28" spans="1:5" x14ac:dyDescent="0.2">
      <c r="A28" s="10" t="s">
        <v>208</v>
      </c>
      <c r="B28" s="4"/>
      <c r="C28" s="4"/>
      <c r="D28" s="4"/>
      <c r="E2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Execution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Baird</dc:creator>
  <cp:lastModifiedBy>Colin Baird</cp:lastModifiedBy>
  <dcterms:created xsi:type="dcterms:W3CDTF">2026-03-25T16:23:06Z</dcterms:created>
  <dcterms:modified xsi:type="dcterms:W3CDTF">2026-03-25T20:47:34Z</dcterms:modified>
</cp:coreProperties>
</file>