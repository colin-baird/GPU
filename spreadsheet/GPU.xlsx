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olinbaird/Projects/GPU/spreadsheet/"/>
    </mc:Choice>
  </mc:AlternateContent>
  <xr:revisionPtr revIDLastSave="0" documentId="13_ncr:1_{D0E1CDE4-4A0D-9345-ABA8-5DB42115A720}" xr6:coauthVersionLast="47" xr6:coauthVersionMax="47" xr10:uidLastSave="{00000000-0000-0000-0000-000000000000}"/>
  <bookViews>
    <workbookView xWindow="14820" yWindow="660" windowWidth="15420" windowHeight="18980" xr2:uid="{E2A779C8-E5DB-664A-84A6-0EAC9E7554FD}"/>
  </bookViews>
  <sheets>
    <sheet name="Parameters" sheetId="7" r:id="rId1"/>
    <sheet name="Execution Model" sheetId="8" r:id="rId2"/>
    <sheet name="Resource Check" sheetId="9" r:id="rId3"/>
    <sheet name="Roofline" sheetId="10" r:id="rId4"/>
    <sheet name="Latency Hiding" sheetId="11" r:id="rId5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9" l="1"/>
  <c r="C7" i="9"/>
  <c r="C5" i="9"/>
  <c r="C4" i="9"/>
  <c r="C51" i="7"/>
  <c r="C49" i="7"/>
  <c r="C46" i="7"/>
  <c r="C20" i="8" s="1"/>
  <c r="C48" i="7"/>
  <c r="B8" i="11"/>
  <c r="B9" i="10"/>
  <c r="C18" i="9"/>
  <c r="C15" i="9"/>
  <c r="C17" i="9" s="1"/>
  <c r="E18" i="9" s="1"/>
  <c r="C12" i="9"/>
  <c r="C3" i="9"/>
  <c r="C42" i="8"/>
  <c r="B3" i="10" s="1"/>
  <c r="C33" i="8"/>
  <c r="C32" i="8"/>
  <c r="C7" i="8"/>
  <c r="C8" i="8" s="1"/>
  <c r="C44" i="8" s="1"/>
  <c r="C6" i="8"/>
  <c r="C15" i="8" s="1"/>
  <c r="C5" i="8"/>
  <c r="C4" i="8"/>
  <c r="C13" i="8" s="1"/>
  <c r="C3" i="8"/>
  <c r="C12" i="8" s="1"/>
  <c r="C9" i="8" l="1"/>
  <c r="C16" i="8" s="1"/>
  <c r="C14" i="8"/>
  <c r="C34" i="8"/>
  <c r="B8" i="10"/>
  <c r="C36" i="8"/>
  <c r="B10" i="10"/>
  <c r="C11" i="9"/>
  <c r="E12" i="9" s="1"/>
  <c r="E17" i="9"/>
  <c r="C17" i="8"/>
  <c r="C21" i="8"/>
  <c r="C22" i="8"/>
  <c r="E11" i="9" l="1"/>
  <c r="B3" i="11"/>
  <c r="B5" i="11" s="1"/>
  <c r="C23" i="8"/>
  <c r="C24" i="8" l="1"/>
  <c r="C25" i="8" s="1"/>
  <c r="C26" i="8" s="1"/>
  <c r="C35" i="8" s="1"/>
  <c r="C37" i="8" s="1"/>
  <c r="C48" i="8"/>
  <c r="C49" i="8" s="1"/>
  <c r="B4" i="10" s="1"/>
  <c r="B5" i="10" s="1"/>
  <c r="B17" i="10" l="1"/>
  <c r="B13" i="10"/>
  <c r="B4" i="11"/>
  <c r="B7" i="11" l="1"/>
  <c r="B9" i="11" s="1"/>
  <c r="B11" i="11"/>
  <c r="B16" i="11" s="1"/>
  <c r="B14" i="11"/>
  <c r="C29" i="8"/>
  <c r="B15" i="11" l="1"/>
  <c r="C38" i="8"/>
  <c r="C50" i="8" l="1"/>
  <c r="C51" i="8" s="1"/>
  <c r="C52" i="8" s="1"/>
  <c r="C43" i="8"/>
  <c r="C39" i="8"/>
  <c r="C45" i="8" l="1"/>
  <c r="B14" i="10"/>
  <c r="B15" i="10" s="1"/>
  <c r="C54" i="8" l="1"/>
  <c r="C46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C44" authorId="0" shapeId="0" xr:uid="{156F94FF-E621-4943-AC8A-1259F676B8C8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Set to 1 if the multiply unit does fused MAC (like dp4a: multiply + accumulate in one instruction). Set to 0 if accumulate requires separate ALU instructions.</t>
        </r>
      </text>
    </comment>
    <comment ref="C45" authorId="0" shapeId="0" xr:uid="{40A36EDC-B414-3B4C-B3E1-5D6854920196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Pointer bumps and index calculations per inner-loop iteration. Typically 2 (one for A tile pointer, one for B tile pointer).</t>
        </r>
      </text>
    </comment>
    <comment ref="C46" authorId="0" shapeId="0" xr:uid="{2FDA5C08-55B5-1241-A95D-F9CE77B73F8E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Derived: CEIL((T_m×T_k + T_k×T_n) / T_warp). Each iteration loads a T_m×T_k tile of A and a T_k×T_n tile of B (INT8, 1 byte each). Each warp load instruction loads T_warp bytes.</t>
        </r>
      </text>
    </comment>
    <comment ref="C48" authorId="0" shapeId="0" xr:uid="{01A513D1-69F7-0E42-8589-3F914DC36DB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Derived: CEIL(T_m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T_n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T_k / (T_warp </t>
        </r>
        <r>
          <rPr>
            <sz val="10"/>
            <color rgb="FF000000"/>
            <rFont val="Tahoma"/>
            <family val="2"/>
          </rPr>
          <t>×</t>
        </r>
        <r>
          <rPr>
            <sz val="10"/>
            <color rgb="FF000000"/>
            <rFont val="Tahoma"/>
            <family val="2"/>
          </rPr>
          <t xml:space="preserve"> int8_pack)). Each warp multiply instruction processes T_warp lanes, each lane packs B_mul/8 INT8 ops.</t>
        </r>
      </text>
    </comment>
    <comment ref="C49" authorId="0" shapeId="0" xr:uid="{91CB7151-0381-9649-A70A-0EC9ECBD4D1B}">
      <text>
        <r>
          <rPr>
            <b/>
            <sz val="10"/>
            <color rgb="FF000000"/>
            <rFont val="Tahoma"/>
            <family val="2"/>
          </rPr>
          <t>Derived: If fused MAC (fused_mac=1), ALU = just address ops. If not fused (fused_mac=0), ALU = I_mul accumulate instructions + address ops.</t>
        </r>
      </text>
    </comment>
    <comment ref="C51" authorId="0" shapeId="0" xr:uid="{87A25EE3-24D2-9745-855F-13D96159DD4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Derived: CEIL(T_m*T_n / T_warp). Writes T_m*T_n INT32 output elements. Each warp store instruction handles T_warp elements.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E6" authorId="0" shapeId="0" xr:uid="{98D12A3B-6BAC-AB48-9381-8C91D645F5B2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Simplification: assumes single-lane iterative divider. Entire warp serialized.</t>
        </r>
      </text>
    </comment>
    <comment ref="E7" authorId="0" shapeId="0" xr:uid="{6269ECFE-4B34-964D-B0D2-C343D25A927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E.g., 32-bit lane packs 4 INT8 multiplies via dp4a-style instruction</t>
        </r>
      </text>
    </comment>
    <comment ref="E16" authorId="0" shapeId="0" xr:uid="{45C201CD-2C50-7845-8D4F-EFE0AA95E00F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Lower bound: even with full overlap, scheduler can only issue one instruction per cycle</t>
        </r>
      </text>
    </comment>
    <comment ref="E17" authorId="0" shapeId="0" xr:uid="{5D1AA5D1-C59F-9C4E-A209-A5B0C139687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Assumes perfect overlap of independent instruction types on different functional units</t>
        </r>
      </text>
    </comment>
    <comment ref="E23" authorId="0" shapeId="0" xr:uid="{8C4EBE3D-8A64-1741-973B-2FF5CC8547D1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Weighted by fraction of loads that are weights vs activations</t>
        </r>
      </text>
    </comment>
    <comment ref="E26" authorId="0" shapeId="0" xr:uid="{0EB6990D-A497-E74A-9F3E-6CB42F47DE48}">
      <text>
        <r>
          <rPr>
            <b/>
            <sz val="10"/>
            <color rgb="FF000000"/>
            <rFont val="Tahoma"/>
            <family val="2"/>
          </rPr>
          <t>Per-warp exposed stalls after latency hiding. Other warps' compute (on shared FUs) overlaps this warp's memory latency.</t>
        </r>
      </text>
    </comment>
    <comment ref="E29" authorId="0" shapeId="0" xr:uid="{B68761AA-AA29-2F48-9937-BC0C0698D935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Average wall-clock cycles per iteration per warp, accounting for memory latency hiding by other warps</t>
        </r>
      </text>
    </comment>
    <comment ref="C35" authorId="0" shapeId="0" xr:uid="{B1043906-2FD4-ED4C-AC5D-76E832406135}">
      <text>
        <r>
          <rPr>
            <b/>
            <sz val="10"/>
            <color rgb="FF000000"/>
            <rFont val="Tahoma"/>
            <family val="2"/>
          </rPr>
          <t xml:space="preserve">Per batch: all warps serialize on FUs (N_warps </t>
        </r>
        <r>
          <rPr>
            <b/>
            <sz val="10"/>
            <color rgb="FF000000"/>
            <rFont val="Tahoma"/>
            <family val="2"/>
          </rPr>
          <t>×</t>
        </r>
        <r>
          <rPr>
            <b/>
            <sz val="10"/>
            <color rgb="FF000000"/>
            <rFont val="Tahoma"/>
            <family val="2"/>
          </rPr>
          <t xml:space="preserve"> T_iter_compute per iteration), plus any per-warp exposed memory stalls aggregated across warps, plus writeback.</t>
        </r>
      </text>
    </comment>
    <comment ref="E44" authorId="0" shapeId="0" xr:uid="{4EEEBFC2-C8C4-2A4B-BACE-BB4598F2500C}">
      <text>
        <r>
          <rPr>
            <b/>
            <sz val="10"/>
            <color rgb="FF000000"/>
            <rFont val="Tahoma"/>
            <family val="2"/>
          </rPr>
          <t>Peak throughput if all multiply lanes busy every cycle, fully pipelined, with INT8 packing. Factor of 2 because each MAC counts as 2 operations (multiply + accumulate) to match ops_total definition.</t>
        </r>
      </text>
    </comment>
    <comment ref="E45" authorId="0" shapeId="0" xr:uid="{E593A231-D3E4-8148-BBEF-6F73324FABDA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Fraction of peak compute actually achieved</t>
        </r>
      </text>
    </comment>
    <comment ref="E46" authorId="0" shapeId="0" xr:uid="{84A7ED3B-79CD-7D45-976D-E139E40DBEA3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This means the instruction mix parameters imply fewer compute cycles than the workload requires. Increase I_mul or check that ops_total = 2×M×N×K matches the actual instruction encoding.</t>
        </r>
      </text>
    </comment>
    <comment ref="E54" authorId="0" shapeId="0" xr:uid="{E1FD305D-56C4-B849-898D-DA427C073C17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If util_compute &gt; util_bw, the kernel is spending more of its potential on compute than memory, meaning memory is the bottleneck (and vice versa). This is a simplified heuristic.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E4" authorId="0" shapeId="0" xr:uid="{C518D02B-FB44-7C4E-8D60-5D4D81020974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Each 18Kb BRAM = 18,432 bits. Rough estimate; actual depends on address mapping and port width.</t>
        </r>
      </text>
    </comment>
    <comment ref="E5" authorId="0" shapeId="0" xr:uid="{B45EDC0D-107A-8746-A37B-C0762EB6E34E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Data array only; tag RAM not included. Actual usage slightly higher.</t>
        </r>
      </text>
    </comment>
    <comment ref="E6" authorId="0" shapeId="0" xr:uid="{4EBF3E52-7260-F641-97FB-FED09EEB6A7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Hardcoded assumption: 2KB instruction cache</t>
        </r>
      </text>
    </comment>
    <comment ref="E8" authorId="0" shapeId="0" xr:uid="{B6AC85DE-EA52-D945-99F7-003793235958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Hardcoded assumption: 4KB for activation function lookup tables</t>
        </r>
      </text>
    </comment>
    <comment ref="E15" authorId="0" shapeId="0" xr:uid="{45729F6D-7D9A-7D4E-AE46-48209419347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Each pipeline stage per lane needs a DSP slice. Rough upper bound; actual depends on packing and FPGA DSP native width vs B_mul.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D5" authorId="0" shapeId="0" xr:uid="{C124DF66-3177-A34F-85FE-3AFECD91EED3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Includes cache effects. Higher = more compute per byte fetched.</t>
        </r>
      </text>
    </comment>
    <comment ref="D10" authorId="0" shapeId="0" xr:uid="{77C41AAF-F33E-6143-8A04-A62BEB8A512F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At this operational intensity, the kernel transitions from memory-bound to compute-bound</t>
        </r>
      </text>
    </comment>
    <comment ref="D13" authorId="0" shapeId="0" xr:uid="{F5FAD1A7-DDD2-8541-B9C8-D07EB93F77CA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The roofline bound: the lower of what compute can deliver and what memory can feed</t>
        </r>
      </text>
    </comment>
    <comment ref="D15" authorId="0" shapeId="0" xr:uid="{4961C32B-660A-BC43-8E9D-49241F9D56F3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How close the kernel gets to the roofline-predicted maximum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Colin Baird</author>
  </authors>
  <commentList>
    <comment ref="D5" authorId="0" shapeId="0" xr:uid="{2CA0F496-96DE-D448-9659-80FB6D854B97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While one warp stalls on a cache miss, other resident warps can execute, providing this many cycles of useful work to overlap with the memory latency.</t>
        </r>
      </text>
    </comment>
    <comment ref="D7" authorId="0" shapeId="0" xr:uid="{723F5297-BE39-3242-BA4C-96C090694845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The +1 accounts for the stalled warp itself. This is the minimum warp count for zero exposed memory stall.</t>
        </r>
      </text>
    </comment>
    <comment ref="D9" authorId="0" shapeId="0" xr:uid="{268049E5-3CE9-4C48-9E0B-B0871A2E4E25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Negative means you need more warps to fully hide memory latency. Consider increasing N_warps in Parameters.</t>
        </r>
      </text>
    </comment>
    <comment ref="D11" authorId="0" shapeId="0" xr:uid="{9EBB83F4-43B1-014A-AC08-C2045A98A769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Ratio of compute available from other warps to total memory latency. Values below 1.0 mean the SM stalls waiting for DRAM.</t>
        </r>
      </text>
    </comment>
    <comment ref="D15" authorId="0" shapeId="0" xr:uid="{F81D20D2-19F8-174F-A47A-31B42383944D}">
      <text>
        <r>
          <rPr>
            <b/>
            <sz val="10"/>
            <color rgb="FF000000"/>
            <rFont val="Tahoma"/>
            <family val="2"/>
          </rPr>
          <t>Colin Baird:</t>
        </r>
        <r>
          <rPr>
            <sz val="10"/>
            <color rgb="FF000000"/>
            <rFont val="Tahoma"/>
            <family val="2"/>
          </rPr>
          <t xml:space="preserve">
0% = all latency hidden. Higher values mean warps are idle waiting for DRAM.</t>
        </r>
      </text>
    </comment>
  </commentList>
</comments>
</file>

<file path=xl/sharedStrings.xml><?xml version="1.0" encoding="utf-8"?>
<sst xmlns="http://schemas.openxmlformats.org/spreadsheetml/2006/main" count="449" uniqueCount="354">
  <si>
    <t>Parameter</t>
  </si>
  <si>
    <t>Symbol</t>
  </si>
  <si>
    <t>Value</t>
  </si>
  <si>
    <t>Unit</t>
  </si>
  <si>
    <t>Notes</t>
  </si>
  <si>
    <t>CLOCK &amp; FPGA</t>
  </si>
  <si>
    <t>Core clock frequency</t>
  </si>
  <si>
    <t>f_clk</t>
  </si>
  <si>
    <t>MHz</t>
  </si>
  <si>
    <t>Target frequency on FPGA</t>
  </si>
  <si>
    <t>bram_avail</t>
  </si>
  <si>
    <t>blocks</t>
  </si>
  <si>
    <t>For resource sanity check</t>
  </si>
  <si>
    <t>FPGA DSP slices available</t>
  </si>
  <si>
    <t>dsp_avail</t>
  </si>
  <si>
    <t>slices</t>
  </si>
  <si>
    <t>WARP CONFIGURATION</t>
  </si>
  <si>
    <t>Warp size (threads per warp)</t>
  </si>
  <si>
    <t>T_warp</t>
  </si>
  <si>
    <t>threads</t>
  </si>
  <si>
    <t>Resident warps per SM</t>
  </si>
  <si>
    <t>N_warps</t>
  </si>
  <si>
    <t>warps</t>
  </si>
  <si>
    <t>Range: 4–8</t>
  </si>
  <si>
    <t>Registers per thread</t>
  </si>
  <si>
    <t>N_regs</t>
  </si>
  <si>
    <t>registers</t>
  </si>
  <si>
    <t>32-bit each</t>
  </si>
  <si>
    <t>EXECUTION UNIT WIDTHS</t>
  </si>
  <si>
    <t>ALU width</t>
  </si>
  <si>
    <t>W_alu</t>
  </si>
  <si>
    <t>threads/cycle</t>
  </si>
  <si>
    <t>Single-cycle ops: add, sub, shift, logic</t>
  </si>
  <si>
    <t>Multiply unit width</t>
  </si>
  <si>
    <t>W_mul</t>
  </si>
  <si>
    <t>Each lane uses 1 DSP slice</t>
  </si>
  <si>
    <t>Multiply operand bitwidth</t>
  </si>
  <si>
    <t>B_mul</t>
  </si>
  <si>
    <t>bits</t>
  </si>
  <si>
    <t>LD/ST unit count</t>
  </si>
  <si>
    <t>W_ldst</t>
  </si>
  <si>
    <t>units</t>
  </si>
  <si>
    <t>For address generation</t>
  </si>
  <si>
    <t>ALU latency</t>
  </si>
  <si>
    <t>L_alu</t>
  </si>
  <si>
    <t>cycles</t>
  </si>
  <si>
    <t>Single-cycle for all ALU ops</t>
  </si>
  <si>
    <t>Multiply pipeline depth</t>
  </si>
  <si>
    <t>L_mul</t>
  </si>
  <si>
    <t>Pipelined: accepts new op every cycle</t>
  </si>
  <si>
    <t>Divide latency</t>
  </si>
  <si>
    <t>L_div</t>
  </si>
  <si>
    <t>Iterative, blocks the unit</t>
  </si>
  <si>
    <t>Instruction fetch latency (hit)</t>
  </si>
  <si>
    <t>L_fetch</t>
  </si>
  <si>
    <t>Instruction decode latency</t>
  </si>
  <si>
    <t>L_decode</t>
  </si>
  <si>
    <t>L1 cache hit latency</t>
  </si>
  <si>
    <t>L_l1_hit</t>
  </si>
  <si>
    <t>From address gen complete to data available</t>
  </si>
  <si>
    <t>L1 cache miss penalty</t>
  </si>
  <si>
    <t>L_l1_miss</t>
  </si>
  <si>
    <t>Full round-trip to DRAM and back</t>
  </si>
  <si>
    <t>Coalescing latency per cache line</t>
  </si>
  <si>
    <t>L_coal</t>
  </si>
  <si>
    <t>Per cache-line request generated</t>
  </si>
  <si>
    <t>MEMORY SYSTEM</t>
  </si>
  <si>
    <t>Native bitwidth of each multiply lane</t>
  </si>
  <si>
    <t>PIPELINE LATENCIES</t>
  </si>
  <si>
    <t>L1 cache size</t>
  </si>
  <si>
    <t>S_l1</t>
  </si>
  <si>
    <t>KB</t>
  </si>
  <si>
    <t>Direct-mapped, write-through</t>
  </si>
  <si>
    <t>L1 cache line size</t>
  </si>
  <si>
    <t>S_line</t>
  </si>
  <si>
    <t>bytes</t>
  </si>
  <si>
    <t>Number of MSHRs</t>
  </si>
  <si>
    <t>N_mshr</t>
  </si>
  <si>
    <t>count</t>
  </si>
  <si>
    <t>Outstanding miss tracking</t>
  </si>
  <si>
    <t>External memory bandwidth</t>
  </si>
  <si>
    <t>BW_dram</t>
  </si>
  <si>
    <t>GB/s</t>
  </si>
  <si>
    <t>E.g., 16-bit DDR3-1600</t>
  </si>
  <si>
    <t>External memory access latency</t>
  </si>
  <si>
    <t>L_dram</t>
  </si>
  <si>
    <t>One-way latency; miss penalty ≈ 2× this</t>
  </si>
  <si>
    <t>WORKLOAD: MATMUL KERNEL (C = A × B, INT8 → INT32)</t>
  </si>
  <si>
    <t>Matrix M (rows of A / rows of C)</t>
  </si>
  <si>
    <t>M</t>
  </si>
  <si>
    <t>elements</t>
  </si>
  <si>
    <t>Matrix N (cols of B / cols of C)</t>
  </si>
  <si>
    <t>N</t>
  </si>
  <si>
    <t>Matrix K (cols of A / rows of B)</t>
  </si>
  <si>
    <t>K</t>
  </si>
  <si>
    <t>Inner dimension</t>
  </si>
  <si>
    <t>Tile size M (rows per tile)</t>
  </si>
  <si>
    <t>T_m</t>
  </si>
  <si>
    <t>Tile assigned to one warp</t>
  </si>
  <si>
    <t>Tile size N (cols per tile)</t>
  </si>
  <si>
    <t>T_n</t>
  </si>
  <si>
    <t>Tile size K (inner loop step)</t>
  </si>
  <si>
    <t>T_k</t>
  </si>
  <si>
    <t>Loaded per iteration</t>
  </si>
  <si>
    <t>Load instructions per iteration</t>
  </si>
  <si>
    <t>I_load</t>
  </si>
  <si>
    <t>instructions</t>
  </si>
  <si>
    <t>Store instructions per iteration</t>
  </si>
  <si>
    <t>I_store</t>
  </si>
  <si>
    <t>Stores only on final iteration</t>
  </si>
  <si>
    <t>Multiply instructions per iteration</t>
  </si>
  <si>
    <t>I_mul</t>
  </si>
  <si>
    <t>ALU instructions per iteration</t>
  </si>
  <si>
    <t>I_alu</t>
  </si>
  <si>
    <t>Divide instructions per iteration</t>
  </si>
  <si>
    <t>I_div</t>
  </si>
  <si>
    <t>Typically none in matmul</t>
  </si>
  <si>
    <t>Store instructions for writeback (total)</t>
  </si>
  <si>
    <t>I_store_wb</t>
  </si>
  <si>
    <t>Weight load fraction</t>
  </si>
  <si>
    <t>f_weight</t>
  </si>
  <si>
    <t>fraction</t>
  </si>
  <si>
    <t>Fraction of loads that are weights (vs activations)</t>
  </si>
  <si>
    <t>MEMORY ACCESS PATTERN</t>
  </si>
  <si>
    <t>L1 hit rate for weight loads</t>
  </si>
  <si>
    <t>HR_weight</t>
  </si>
  <si>
    <t>Large weight matrix, mostly streaming</t>
  </si>
  <si>
    <t>L1 hit rate for activation loads</t>
  </si>
  <si>
    <t>HR_act</t>
  </si>
  <si>
    <t>Activation tile may be reused</t>
  </si>
  <si>
    <t>Average cache lines per coalesced load</t>
  </si>
  <si>
    <t>CL_per_load</t>
  </si>
  <si>
    <t>1.0 = perfectly coalesced; higher = worse</t>
  </si>
  <si>
    <t>Metric</t>
  </si>
  <si>
    <t>Formula / Value</t>
  </si>
  <si>
    <t>Notes / Assumptions</t>
  </si>
  <si>
    <t>SECTION A: DRAIN CYCLES PER INSTRUCTION TYPE</t>
  </si>
  <si>
    <t>Drain cycles: ALU</t>
  </si>
  <si>
    <t>drain_alu</t>
  </si>
  <si>
    <t>Cycles to issue all warp threads through ALU</t>
  </si>
  <si>
    <t>Drain cycles: Multiply</t>
  </si>
  <si>
    <t>drain_mul</t>
  </si>
  <si>
    <t>Issue time only; pipeline latency is separate</t>
  </si>
  <si>
    <t>Drain cycles: LD/ST</t>
  </si>
  <si>
    <t>drain_ldst</t>
  </si>
  <si>
    <t>Cycles to issue all warp threads through LD/ST</t>
  </si>
  <si>
    <t>Drain cycles: Divide</t>
  </si>
  <si>
    <t>drain_div</t>
  </si>
  <si>
    <t>Iterative, blocks unit for L_div cycles</t>
  </si>
  <si>
    <t>INT8 packing factor</t>
  </si>
  <si>
    <t>int8_pack</t>
  </si>
  <si>
    <t>INT8 ops/lane/cycle</t>
  </si>
  <si>
    <t>B_mul / 8: INT8 multiplies per lane per cycle</t>
  </si>
  <si>
    <t>INT8 ops per cycle (all lanes)</t>
  </si>
  <si>
    <t>int8_ops_per_cycle</t>
  </si>
  <si>
    <t>INT8 MACs/cycle</t>
  </si>
  <si>
    <t>W_mul × int8_pack</t>
  </si>
  <si>
    <t>Total instructions per iteration</t>
  </si>
  <si>
    <t>total_instr</t>
  </si>
  <si>
    <t>I_load + I_store + I_mul + I_alu + I_div</t>
  </si>
  <si>
    <t>SECTION B: CYCLES PER INNER-LOOP ITERATION (Single Warp, No Stalls)</t>
  </si>
  <si>
    <t>Time on ALU unit</t>
  </si>
  <si>
    <t>T_alu_iter</t>
  </si>
  <si>
    <t>I_alu × drain_alu</t>
  </si>
  <si>
    <t>Time on Multiply unit</t>
  </si>
  <si>
    <t>T_mul_iter</t>
  </si>
  <si>
    <t>I_mul × drain_mul</t>
  </si>
  <si>
    <t>Time on LD/ST unit</t>
  </si>
  <si>
    <t>T_ldst_iter</t>
  </si>
  <si>
    <t>I_load × drain_ldst (stores=0 in inner loop)</t>
  </si>
  <si>
    <t>Time on Divide unit</t>
  </si>
  <si>
    <t>T_div_iter</t>
  </si>
  <si>
    <t>I_div × drain_div</t>
  </si>
  <si>
    <t>Min issue cycles (1 instr/cycle scheduler)</t>
  </si>
  <si>
    <t>T_issue_min</t>
  </si>
  <si>
    <t>Warp scheduler issues one instruction per cycle</t>
  </si>
  <si>
    <t>Compute iteration time (single warp)</t>
  </si>
  <si>
    <t>T_iter_compute</t>
  </si>
  <si>
    <t>MAX of all FU times and min issue time</t>
  </si>
  <si>
    <t>SECTION C: MEMORY LATENCY PER ITERATION</t>
  </si>
  <si>
    <t>Total loads per iteration</t>
  </si>
  <si>
    <t>loads_total</t>
  </si>
  <si>
    <t>loads</t>
  </si>
  <si>
    <t>Weight loads per iteration</t>
  </si>
  <si>
    <t>loads_weight</t>
  </si>
  <si>
    <t>loads_total × f_weight</t>
  </si>
  <si>
    <t>Activation loads per iteration</t>
  </si>
  <si>
    <t>loads_act</t>
  </si>
  <si>
    <t>loads_total × (1 - f_weight)</t>
  </si>
  <si>
    <t>Effective miss rate (weighted)</t>
  </si>
  <si>
    <t>miss_rate</t>
  </si>
  <si>
    <t>1 - weighted avg of hit rates</t>
  </si>
  <si>
    <t>Misses per iteration</t>
  </si>
  <si>
    <t>misses_iter</t>
  </si>
  <si>
    <t>misses</t>
  </si>
  <si>
    <t>loads_total × CL_per_load × miss_rate</t>
  </si>
  <si>
    <t>Total memory stall cycles (raw)</t>
  </si>
  <si>
    <t>mem_stall_raw</t>
  </si>
  <si>
    <t>misses_iter × L_l1_miss</t>
  </si>
  <si>
    <t>mem_cycles_exposed</t>
  </si>
  <si>
    <t>MAX(0, stall - (N_warps-1)×T_iter_compute)</t>
  </si>
  <si>
    <t>SECTION D: EFFECTIVE ITERATION TIME (with Memory Stalls)</t>
  </si>
  <si>
    <t>Effective iteration time</t>
  </si>
  <si>
    <t>T_iter_effective</t>
  </si>
  <si>
    <t>T_iter_compute + memory_cycles_exposed</t>
  </si>
  <si>
    <t>SECTION E: TOTAL KERNEL EXECUTION</t>
  </si>
  <si>
    <t>Number of output tiles</t>
  </si>
  <si>
    <t>N_tiles</t>
  </si>
  <si>
    <t>tiles</t>
  </si>
  <si>
    <t>CEIL(M/T_m) × CEIL(N/T_n)</t>
  </si>
  <si>
    <t>Inner loop iterations per tile</t>
  </si>
  <si>
    <t>iters_per_tile</t>
  </si>
  <si>
    <t>iterations</t>
  </si>
  <si>
    <t>CEIL(K/T_k)</t>
  </si>
  <si>
    <t>Writeback cycles per tile</t>
  </si>
  <si>
    <t>T_writeback</t>
  </si>
  <si>
    <t>I_store_wb × drain_ldst</t>
  </si>
  <si>
    <t>Tile batches (across resident warps)</t>
  </si>
  <si>
    <t>tile_batches</t>
  </si>
  <si>
    <t>batches</t>
  </si>
  <si>
    <t>CEIL(N_tiles / N_warps)</t>
  </si>
  <si>
    <t>Total kernel cycles</t>
  </si>
  <si>
    <t>T_kernel</t>
  </si>
  <si>
    <t>Wall-clock time</t>
  </si>
  <si>
    <t>T_wall</t>
  </si>
  <si>
    <t>seconds</t>
  </si>
  <si>
    <t>T_kernel / (f_clk × 10⁶)</t>
  </si>
  <si>
    <t>T_wall_us</t>
  </si>
  <si>
    <t>µs</t>
  </si>
  <si>
    <t>Converted to microseconds</t>
  </si>
  <si>
    <t>SECTION F: THROUGHPUT METRICS</t>
  </si>
  <si>
    <t>Total INT8 MACs in matmul</t>
  </si>
  <si>
    <t>ops_total</t>
  </si>
  <si>
    <t>operations</t>
  </si>
  <si>
    <t>2 × M × N × K (multiply + accumulate per element)</t>
  </si>
  <si>
    <t>Achieved throughput</t>
  </si>
  <si>
    <t>GOPS</t>
  </si>
  <si>
    <t>ops_total / T_wall / 10⁹</t>
  </si>
  <si>
    <t>GOPS_peak</t>
  </si>
  <si>
    <t>Compute utilization</t>
  </si>
  <si>
    <t>util_compute</t>
  </si>
  <si>
    <t>GOPS / GOPS_peak</t>
  </si>
  <si>
    <t>SECTION G: MEMORY BANDWIDTH ANALYSIS</t>
  </si>
  <si>
    <t>Total cache line fetches from DRAM</t>
  </si>
  <si>
    <t>total_CL_fetches</t>
  </si>
  <si>
    <t>fetches</t>
  </si>
  <si>
    <t>N_tiles × iters_per_tile × loads_total × CL_per_load × miss_rate</t>
  </si>
  <si>
    <t>Total bytes from DRAM</t>
  </si>
  <si>
    <t>total_bytes_dram</t>
  </si>
  <si>
    <t>total_CL_fetches × S_line</t>
  </si>
  <si>
    <t>Bandwidth required</t>
  </si>
  <si>
    <t>BW_required</t>
  </si>
  <si>
    <t>bytes/s</t>
  </si>
  <si>
    <t>total_bytes_dram / T_wall</t>
  </si>
  <si>
    <t>BW_req_GBs</t>
  </si>
  <si>
    <t>Converted to GB/s for comparison</t>
  </si>
  <si>
    <t>Bandwidth utilization</t>
  </si>
  <si>
    <t>util_bw</t>
  </si>
  <si>
    <t>BW_required / BW_dram</t>
  </si>
  <si>
    <t>Bottleneck determination</t>
  </si>
  <si>
    <t>Compares compute utilization vs bandwidth utilization</t>
  </si>
  <si>
    <t>Calculation</t>
  </si>
  <si>
    <t>Status</t>
  </si>
  <si>
    <t>BRAM USAGE (18Kb blocks)</t>
  </si>
  <si>
    <t>Register file total bits</t>
  </si>
  <si>
    <t>N_warps × T_warp × N_regs × 32</t>
  </si>
  <si>
    <t>Register file BRAM blocks</t>
  </si>
  <si>
    <t>L1 cache BRAM blocks</t>
  </si>
  <si>
    <t>Instruction cache size (assumed)</t>
  </si>
  <si>
    <t>2 KB</t>
  </si>
  <si>
    <t>Instruction cache BRAM blocks</t>
  </si>
  <si>
    <t>CEIL(I$ × 8192 / 18432)</t>
  </si>
  <si>
    <t>LUT storage size (assumed)</t>
  </si>
  <si>
    <t>4 KB</t>
  </si>
  <si>
    <t>LUT BRAM blocks</t>
  </si>
  <si>
    <t>CEIL(LUT × 8192 / 18432)</t>
  </si>
  <si>
    <t>TOTAL BRAM used</t>
  </si>
  <si>
    <t>BRAM available</t>
  </si>
  <si>
    <t>DSP SLICE USAGE</t>
  </si>
  <si>
    <t>Multiply unit DSP slices</t>
  </si>
  <si>
    <t>W_mul × L_mul</t>
  </si>
  <si>
    <t>TOTAL DSP used</t>
  </si>
  <si>
    <t>DSP available</t>
  </si>
  <si>
    <t>OPERATIONAL INTENSITY</t>
  </si>
  <si>
    <t>Total arithmetic operations</t>
  </si>
  <si>
    <t>ops</t>
  </si>
  <si>
    <t>2 × M × N × K (from Execution Model)</t>
  </si>
  <si>
    <t>Total DRAM bytes transferred</t>
  </si>
  <si>
    <t>From Execution Model Section G</t>
  </si>
  <si>
    <t>Operational Intensity</t>
  </si>
  <si>
    <t>ops/byte</t>
  </si>
  <si>
    <t>Arithmetic ops per byte of DRAM traffic (as actually executed)</t>
  </si>
  <si>
    <t>RIDGE POINT</t>
  </si>
  <si>
    <t>Peak compute (GOPS)</t>
  </si>
  <si>
    <t>From Execution Model Section F</t>
  </si>
  <si>
    <t>DRAM bandwidth</t>
  </si>
  <si>
    <t>From Parameters</t>
  </si>
  <si>
    <t>Ridge Point</t>
  </si>
  <si>
    <t>OI where compute and BW are balanced</t>
  </si>
  <si>
    <t>ROOFLINE ANALYSIS</t>
  </si>
  <si>
    <t>Achievable GOPS</t>
  </si>
  <si>
    <t>MIN(peak_compute, OI × BW_dram)</t>
  </si>
  <si>
    <t>Achieved GOPS</t>
  </si>
  <si>
    <t>Roofline Efficiency</t>
  </si>
  <si>
    <t>Achieved / Achievable under roofline model</t>
  </si>
  <si>
    <t>Regime</t>
  </si>
  <si>
    <t>Plain-text determination of compute vs memory bound</t>
  </si>
  <si>
    <t>WARP LATENCY HIDING ANALYSIS</t>
  </si>
  <si>
    <t>Compute cycles per warp per iteration</t>
  </si>
  <si>
    <t>T_iter_compute from Execution Model</t>
  </si>
  <si>
    <t>Memory latency to hide per iteration</t>
  </si>
  <si>
    <t>Compute available from other warps</t>
  </si>
  <si>
    <t>(N_warps - 1) × T_iter_compute</t>
  </si>
  <si>
    <t>Warps needed to fully hide memory latency</t>
  </si>
  <si>
    <t>CEIL(mem_latency / compute_per_warp) + 1</t>
  </si>
  <si>
    <t>Current resident warps</t>
  </si>
  <si>
    <t>N_warps from Parameters</t>
  </si>
  <si>
    <t>Surplus / deficit warps</t>
  </si>
  <si>
    <t>N_warps - warps_needed. Positive = surplus; negative = deficit</t>
  </si>
  <si>
    <t>Memory latency coverage ratio</t>
  </si>
  <si>
    <t>ratio</t>
  </si>
  <si>
    <t>≥ 1.0 means full hiding; &lt; 1.0 means exposed stalls</t>
  </si>
  <si>
    <t>SUMMARY</t>
  </si>
  <si>
    <t>Exposed memory stall cycles per iteration</t>
  </si>
  <si>
    <t>From Execution Model Section C</t>
  </si>
  <si>
    <t>Stall as % of effective iteration time</t>
  </si>
  <si>
    <t>What fraction of wall-clock time is pure memory stall</t>
  </si>
  <si>
    <t>Assessment</t>
  </si>
  <si>
    <t>Plain-text assessment of warp sufficiency</t>
  </si>
  <si>
    <t>Peak INT8 throughput</t>
  </si>
  <si>
    <t>int8_ops_per_cycle × 2 × f_clk (each MAC = 2 ops: mul + add)</t>
  </si>
  <si>
    <t>⚠ Utilization check</t>
  </si>
  <si>
    <t>If utilization &gt; 100%, the instruction count is inconsistent with ops_total</t>
  </si>
  <si>
    <t>Cycles per tile batch (N_warps tiles)</t>
  </si>
  <si>
    <t>T_batch</t>
  </si>
  <si>
    <t>tile_batches × T_batch</t>
  </si>
  <si>
    <t>Memory cycles exposed per warp per iter</t>
  </si>
  <si>
    <t>iters×N_warps×(T_iter_compute + mem_exposed) + writeback×N_warps</t>
  </si>
  <si>
    <t>CEIL(T_m×T_n×T_k / (T_warp * int8_pack)) — auto-computed from packing factor</t>
  </si>
  <si>
    <t>INSTRUCTION MIX PER INNER-LOOP ITERATION (derived from tile geometry)</t>
  </si>
  <si>
    <t>Fused multiply-accumulate (MAC)</t>
  </si>
  <si>
    <t>fused_mac</t>
  </si>
  <si>
    <t>0 or 1</t>
  </si>
  <si>
    <t>1 = accumulate fused into multiply; 0 = separate ALU for accumulate</t>
  </si>
  <si>
    <t>Address arithmetic ops per iteration</t>
  </si>
  <si>
    <t>N_addr_ops</t>
  </si>
  <si>
    <t>Pointer updates per iteration (A ptr + B ptr)</t>
  </si>
  <si>
    <t>CEIL((T_m*T_k + T_k*T_n) / T_warp) -- bytes per iter / bytes per warp load</t>
  </si>
  <si>
    <t>(1-fused_mac)*I_mul + N_addr_ops -- accumulates (if not fused) + pointer math</t>
  </si>
  <si>
    <t>CEIL(T_m*T_n / T_warp) -- output elements / elements per warp store</t>
  </si>
  <si>
    <t>FPGA BRAM blocks available</t>
  </si>
  <si>
    <t>FPGA bits per BRAM block</t>
  </si>
  <si>
    <t>CEIL(bits / BRAM block size)</t>
  </si>
  <si>
    <t>CEIL(S_l1 × 8192 / BRAM b size)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</si>
</sst>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00"/>
    <numFmt numFmtId="167" formatCode="#,##0.0"/>
    <numFmt numFmtId="168" formatCode="#,##0.000"/>
    <numFmt numFmtId="169" formatCode="0.0%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0000FF"/>
      <name val="Calibri"/>
      <family val="2"/>
      <scheme val="minor"/>
    </font>
    <font>
      <i/>
      <sz val="12"/>
      <color rgb="FF88888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E1F2"/>
        <bgColor indexed="64"/>
      </patternFill>
    </fill>
    <fill>
      <patternFill patternType="solid">
        <fgColor rgb="FF4472C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0" fillId="2" borderId="0" xfId="0" applyFill="1"/>
    <xf numFmtId="0" fontId="3" fillId="3" borderId="0" xfId="0" applyFont="1" applyFill="1"/>
    <xf numFmtId="0" fontId="0" fillId="3" borderId="0" xfId="0" applyFill="1"/>
    <xf numFmtId="0" fontId="4" fillId="0" borderId="0" xfId="0" applyFont="1"/>
    <xf numFmtId="0" fontId="5" fillId="0" borderId="0" xfId="0" applyFont="1"/>
    <xf numFmtId="2" fontId="4" fillId="0" borderId="0" xfId="0" applyNumberFormat="1" applyFont="1"/>
    <xf numFmtId="164" fontId="4" fillId="0" borderId="0" xfId="0" applyNumberFormat="1" applyFont="1"/>
    <xf numFmtId="0" fontId="1" fillId="2" borderId="0" xfId="0" applyFont="1" applyFill="1" applyAlignment="1">
      <alignment horizontal="center"/>
    </xf>
    <xf numFmtId="0" fontId="6" fillId="3" borderId="0" xfId="0" applyFont="1" applyFill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3" fontId="0" fillId="0" borderId="0" xfId="0" applyNumberFormat="1"/>
    <xf numFmtId="168" fontId="0" fillId="0" borderId="0" xfId="0" applyNumberFormat="1"/>
    <xf numFmtId="2" fontId="0" fillId="0" borderId="0" xfId="0" applyNumberFormat="1"/>
    <xf numFmtId="169" fontId="0" fillId="0" borderId="0" xfId="0" applyNumberFormat="1"/>
    <xf numFmtId="0" fontId="9" fillId="0" borderId="0" xfId="0" applyFont="1"/>
    <xf numFmtId="0" fontId="4" fillId="3" borderId="0" xfId="0" applyFont="1" applyFill="1"/>
  </cellXfs>
  <cellStyles count="1">
    <cellStyle name="Normal" xfId="0" builtinId="0"/>
  </cellStyles>
  <dxfs count="6"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3701031-774C-D44F-A760-9357CC696A9D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D4C59-1A86-DF47-8609-5A9763FD6FB7}">
  <dimension ref="A1:F57"/>
  <sheetViews>
    <sheetView tabSelected="1" workbookViewId="0">
      <pane ySplit="1" topLeftCell="A2" activePane="bottomLeft" state="frozen"/>
      <selection pane="bottomLeft" activeCell="C5" sqref="C5"/>
    </sheetView>
  </sheetViews>
  <sheetFormatPr baseColWidth="10" defaultRowHeight="16" x14ac:dyDescent="0.2"/>
  <cols>
    <col min="1" max="1" width="46.6640625" customWidth="1"/>
    <col min="2" max="2" width="15" customWidth="1"/>
    <col min="3" max="3" width="12.5" customWidth="1"/>
    <col min="4" max="4" width="15" customWidth="1"/>
    <col min="5" max="5" width="46.6640625" customWidth="1"/>
  </cols>
  <sheetData>
    <row r="1" spans="1:6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/>
    </row>
    <row r="2" spans="1:6" x14ac:dyDescent="0.2">
      <c r="A2" s="4" t="s">
        <v>5</v>
      </c>
      <c r="B2" s="5"/>
      <c r="C2" s="5"/>
      <c r="D2" s="5"/>
      <c r="E2" s="5"/>
      <c r="F2" s="5"/>
    </row>
    <row r="3" spans="1:6" x14ac:dyDescent="0.2">
      <c r="A3" t="s">
        <v>6</v>
      </c>
      <c r="B3" t="s">
        <v>7</v>
      </c>
      <c r="C3" s="6">
        <v>200</v>
      </c>
      <c r="D3" t="s">
        <v>8</v>
      </c>
      <c r="E3" t="s">
        <v>9</v>
      </c>
    </row>
    <row r="4" spans="1:6" x14ac:dyDescent="0.2">
      <c r="A4" t="s">
        <v>350</v>
      </c>
      <c r="B4" t="s">
        <v>10</v>
      </c>
      <c r="C4" s="6">
        <v>557</v>
      </c>
      <c r="D4" t="s">
        <v>11</v>
      </c>
      <c r="E4" t="s">
        <v>12</v>
      </c>
    </row>
    <row r="5" spans="1:6" x14ac:dyDescent="0.2">
      <c r="A5" t="s">
        <v>13</v>
      </c>
      <c r="B5" t="s">
        <v>14</v>
      </c>
      <c r="C5" s="6">
        <v>220</v>
      </c>
      <c r="D5" t="s">
        <v>15</v>
      </c>
      <c r="E5" t="s">
        <v>12</v>
      </c>
    </row>
    <row r="6" spans="1:6" x14ac:dyDescent="0.2">
      <c r="A6" t="s">
        <v>351</v>
      </c>
      <c r="C6" s="6">
        <v>10000</v>
      </c>
      <c r="D6" t="s">
        <v>38</v>
      </c>
    </row>
    <row r="7" spans="1:6" x14ac:dyDescent="0.2">
      <c r="A7" s="4" t="s">
        <v>16</v>
      </c>
      <c r="B7" s="5"/>
      <c r="C7" s="5"/>
      <c r="D7" s="5"/>
      <c r="E7" s="5"/>
      <c r="F7" s="5"/>
    </row>
    <row r="8" spans="1:6" x14ac:dyDescent="0.2">
      <c r="A8" t="s">
        <v>17</v>
      </c>
      <c r="B8" t="s">
        <v>18</v>
      </c>
      <c r="C8" s="6">
        <v>32</v>
      </c>
      <c r="D8" t="s">
        <v>19</v>
      </c>
    </row>
    <row r="9" spans="1:6" x14ac:dyDescent="0.2">
      <c r="A9" t="s">
        <v>20</v>
      </c>
      <c r="B9" t="s">
        <v>21</v>
      </c>
      <c r="C9" s="6">
        <v>4</v>
      </c>
      <c r="D9" t="s">
        <v>22</v>
      </c>
      <c r="E9" t="s">
        <v>23</v>
      </c>
    </row>
    <row r="10" spans="1:6" x14ac:dyDescent="0.2">
      <c r="A10" t="s">
        <v>24</v>
      </c>
      <c r="B10" t="s">
        <v>25</v>
      </c>
      <c r="C10" s="6">
        <v>32</v>
      </c>
      <c r="D10" t="s">
        <v>26</v>
      </c>
      <c r="E10" t="s">
        <v>27</v>
      </c>
    </row>
    <row r="12" spans="1:6" x14ac:dyDescent="0.2">
      <c r="A12" s="4" t="s">
        <v>28</v>
      </c>
      <c r="B12" s="5"/>
      <c r="C12" s="5"/>
      <c r="D12" s="5"/>
      <c r="E12" s="5"/>
      <c r="F12" s="5"/>
    </row>
    <row r="13" spans="1:6" x14ac:dyDescent="0.2">
      <c r="A13" t="s">
        <v>29</v>
      </c>
      <c r="B13" t="s">
        <v>30</v>
      </c>
      <c r="C13" s="6">
        <v>16</v>
      </c>
      <c r="D13" t="s">
        <v>31</v>
      </c>
      <c r="E13" t="s">
        <v>32</v>
      </c>
    </row>
    <row r="14" spans="1:6" x14ac:dyDescent="0.2">
      <c r="A14" t="s">
        <v>33</v>
      </c>
      <c r="B14" t="s">
        <v>34</v>
      </c>
      <c r="C14" s="6">
        <v>8</v>
      </c>
      <c r="D14" t="s">
        <v>31</v>
      </c>
      <c r="E14" t="s">
        <v>35</v>
      </c>
    </row>
    <row r="15" spans="1:6" x14ac:dyDescent="0.2">
      <c r="A15" t="s">
        <v>36</v>
      </c>
      <c r="B15" t="s">
        <v>37</v>
      </c>
      <c r="C15" s="6">
        <v>32</v>
      </c>
      <c r="D15" t="s">
        <v>38</v>
      </c>
      <c r="E15" t="s">
        <v>67</v>
      </c>
    </row>
    <row r="16" spans="1:6" x14ac:dyDescent="0.2">
      <c r="A16" t="s">
        <v>39</v>
      </c>
      <c r="B16" t="s">
        <v>40</v>
      </c>
      <c r="C16" s="6">
        <v>8</v>
      </c>
      <c r="D16" t="s">
        <v>41</v>
      </c>
      <c r="E16" t="s">
        <v>42</v>
      </c>
    </row>
    <row r="18" spans="1:6" x14ac:dyDescent="0.2">
      <c r="A18" s="4" t="s">
        <v>68</v>
      </c>
      <c r="B18" s="5"/>
      <c r="C18" s="5"/>
      <c r="D18" s="5"/>
      <c r="E18" s="5"/>
      <c r="F18" s="5"/>
    </row>
    <row r="19" spans="1:6" x14ac:dyDescent="0.2">
      <c r="A19" t="s">
        <v>43</v>
      </c>
      <c r="B19" t="s">
        <v>44</v>
      </c>
      <c r="C19" s="6">
        <v>1</v>
      </c>
      <c r="D19" t="s">
        <v>45</v>
      </c>
      <c r="E19" t="s">
        <v>46</v>
      </c>
    </row>
    <row r="20" spans="1:6" x14ac:dyDescent="0.2">
      <c r="A20" t="s">
        <v>47</v>
      </c>
      <c r="B20" t="s">
        <v>48</v>
      </c>
      <c r="C20" s="6">
        <v>4</v>
      </c>
      <c r="D20" t="s">
        <v>45</v>
      </c>
      <c r="E20" t="s">
        <v>49</v>
      </c>
    </row>
    <row r="21" spans="1:6" x14ac:dyDescent="0.2">
      <c r="A21" t="s">
        <v>50</v>
      </c>
      <c r="B21" t="s">
        <v>51</v>
      </c>
      <c r="C21" s="6">
        <v>32</v>
      </c>
      <c r="D21" t="s">
        <v>45</v>
      </c>
      <c r="E21" t="s">
        <v>52</v>
      </c>
    </row>
    <row r="22" spans="1:6" x14ac:dyDescent="0.2">
      <c r="A22" t="s">
        <v>53</v>
      </c>
      <c r="B22" t="s">
        <v>54</v>
      </c>
      <c r="C22" s="6">
        <v>1</v>
      </c>
      <c r="D22" t="s">
        <v>45</v>
      </c>
    </row>
    <row r="23" spans="1:6" x14ac:dyDescent="0.2">
      <c r="A23" t="s">
        <v>55</v>
      </c>
      <c r="B23" t="s">
        <v>56</v>
      </c>
      <c r="C23" s="6">
        <v>1</v>
      </c>
      <c r="D23" t="s">
        <v>45</v>
      </c>
    </row>
    <row r="24" spans="1:6" x14ac:dyDescent="0.2">
      <c r="A24" t="s">
        <v>57</v>
      </c>
      <c r="B24" t="s">
        <v>58</v>
      </c>
      <c r="C24" s="6">
        <v>2</v>
      </c>
      <c r="D24" t="s">
        <v>45</v>
      </c>
      <c r="E24" t="s">
        <v>59</v>
      </c>
    </row>
    <row r="25" spans="1:6" x14ac:dyDescent="0.2">
      <c r="A25" t="s">
        <v>60</v>
      </c>
      <c r="B25" t="s">
        <v>61</v>
      </c>
      <c r="C25" s="6">
        <v>100</v>
      </c>
      <c r="D25" t="s">
        <v>45</v>
      </c>
      <c r="E25" t="s">
        <v>62</v>
      </c>
    </row>
    <row r="26" spans="1:6" x14ac:dyDescent="0.2">
      <c r="A26" t="s">
        <v>63</v>
      </c>
      <c r="B26" t="s">
        <v>64</v>
      </c>
      <c r="C26" s="6">
        <v>1</v>
      </c>
      <c r="D26" t="s">
        <v>45</v>
      </c>
      <c r="E26" t="s">
        <v>65</v>
      </c>
    </row>
    <row r="28" spans="1:6" x14ac:dyDescent="0.2">
      <c r="A28" s="4" t="s">
        <v>66</v>
      </c>
      <c r="B28" s="5"/>
      <c r="C28" s="5"/>
      <c r="D28" s="5"/>
      <c r="E28" s="5"/>
      <c r="F28" s="5"/>
    </row>
    <row r="29" spans="1:6" x14ac:dyDescent="0.2">
      <c r="A29" t="s">
        <v>69</v>
      </c>
      <c r="B29" t="s">
        <v>70</v>
      </c>
      <c r="C29" s="6">
        <v>4</v>
      </c>
      <c r="D29" t="s">
        <v>71</v>
      </c>
      <c r="E29" t="s">
        <v>72</v>
      </c>
    </row>
    <row r="30" spans="1:6" x14ac:dyDescent="0.2">
      <c r="A30" t="s">
        <v>73</v>
      </c>
      <c r="B30" t="s">
        <v>74</v>
      </c>
      <c r="C30" s="6">
        <v>128</v>
      </c>
      <c r="D30" t="s">
        <v>75</v>
      </c>
    </row>
    <row r="31" spans="1:6" x14ac:dyDescent="0.2">
      <c r="A31" t="s">
        <v>76</v>
      </c>
      <c r="B31" t="s">
        <v>77</v>
      </c>
      <c r="C31" s="6">
        <v>2</v>
      </c>
      <c r="D31" t="s">
        <v>78</v>
      </c>
      <c r="E31" t="s">
        <v>79</v>
      </c>
    </row>
    <row r="32" spans="1:6" x14ac:dyDescent="0.2">
      <c r="A32" t="s">
        <v>80</v>
      </c>
      <c r="B32" t="s">
        <v>81</v>
      </c>
      <c r="C32" s="6">
        <v>3.2</v>
      </c>
      <c r="D32" t="s">
        <v>82</v>
      </c>
      <c r="E32" t="s">
        <v>83</v>
      </c>
    </row>
    <row r="33" spans="1:6" x14ac:dyDescent="0.2">
      <c r="A33" t="s">
        <v>84</v>
      </c>
      <c r="B33" t="s">
        <v>85</v>
      </c>
      <c r="C33" s="6">
        <v>80</v>
      </c>
      <c r="D33" t="s">
        <v>45</v>
      </c>
      <c r="E33" t="s">
        <v>86</v>
      </c>
    </row>
    <row r="34" spans="1:6" x14ac:dyDescent="0.2">
      <c r="A34" s="7"/>
    </row>
    <row r="35" spans="1:6" x14ac:dyDescent="0.2">
      <c r="A35" s="4" t="s">
        <v>87</v>
      </c>
      <c r="B35" s="5"/>
      <c r="C35" s="5"/>
      <c r="D35" s="5"/>
      <c r="E35" s="5"/>
      <c r="F35" s="5"/>
    </row>
    <row r="36" spans="1:6" x14ac:dyDescent="0.2">
      <c r="A36" t="s">
        <v>88</v>
      </c>
      <c r="B36" t="s">
        <v>89</v>
      </c>
      <c r="C36" s="6">
        <v>128</v>
      </c>
      <c r="D36" t="s">
        <v>90</v>
      </c>
    </row>
    <row r="37" spans="1:6" x14ac:dyDescent="0.2">
      <c r="A37" t="s">
        <v>91</v>
      </c>
      <c r="B37" t="s">
        <v>92</v>
      </c>
      <c r="C37" s="6">
        <v>128</v>
      </c>
      <c r="D37" t="s">
        <v>90</v>
      </c>
    </row>
    <row r="38" spans="1:6" x14ac:dyDescent="0.2">
      <c r="A38" t="s">
        <v>93</v>
      </c>
      <c r="B38" t="s">
        <v>94</v>
      </c>
      <c r="C38" s="6">
        <v>128</v>
      </c>
      <c r="D38" t="s">
        <v>90</v>
      </c>
      <c r="E38" t="s">
        <v>95</v>
      </c>
    </row>
    <row r="39" spans="1:6" x14ac:dyDescent="0.2">
      <c r="A39" t="s">
        <v>96</v>
      </c>
      <c r="B39" t="s">
        <v>97</v>
      </c>
      <c r="C39" s="6">
        <v>16</v>
      </c>
      <c r="D39" t="s">
        <v>90</v>
      </c>
      <c r="E39" t="s">
        <v>98</v>
      </c>
    </row>
    <row r="40" spans="1:6" x14ac:dyDescent="0.2">
      <c r="A40" t="s">
        <v>99</v>
      </c>
      <c r="B40" t="s">
        <v>100</v>
      </c>
      <c r="C40" s="6">
        <v>16</v>
      </c>
      <c r="D40" t="s">
        <v>90</v>
      </c>
    </row>
    <row r="41" spans="1:6" x14ac:dyDescent="0.2">
      <c r="A41" t="s">
        <v>101</v>
      </c>
      <c r="B41" t="s">
        <v>102</v>
      </c>
      <c r="C41" s="6">
        <v>16</v>
      </c>
      <c r="D41" t="s">
        <v>90</v>
      </c>
      <c r="E41" t="s">
        <v>103</v>
      </c>
    </row>
    <row r="43" spans="1:6" x14ac:dyDescent="0.2">
      <c r="A43" s="4" t="s">
        <v>339</v>
      </c>
      <c r="B43" s="5"/>
      <c r="C43" s="5"/>
      <c r="D43" s="5"/>
      <c r="E43" s="5"/>
      <c r="F43" s="5"/>
    </row>
    <row r="44" spans="1:6" x14ac:dyDescent="0.2">
      <c r="A44" s="4" t="s">
        <v>340</v>
      </c>
      <c r="B44" s="5" t="s">
        <v>341</v>
      </c>
      <c r="C44" s="21">
        <v>1</v>
      </c>
      <c r="D44" s="5" t="s">
        <v>342</v>
      </c>
      <c r="E44" s="5" t="s">
        <v>343</v>
      </c>
      <c r="F44" s="5"/>
    </row>
    <row r="45" spans="1:6" x14ac:dyDescent="0.2">
      <c r="A45" s="4" t="s">
        <v>344</v>
      </c>
      <c r="B45" s="5" t="s">
        <v>345</v>
      </c>
      <c r="C45" s="21">
        <v>2</v>
      </c>
      <c r="D45" s="5" t="s">
        <v>106</v>
      </c>
      <c r="E45" s="5" t="s">
        <v>346</v>
      </c>
      <c r="F45" s="5"/>
    </row>
    <row r="46" spans="1:6" x14ac:dyDescent="0.2">
      <c r="A46" t="s">
        <v>104</v>
      </c>
      <c r="B46" t="s">
        <v>105</v>
      </c>
      <c r="C46" s="20">
        <f>CEILING((C39*C41+C41*C40)/C8,1)</f>
        <v>16</v>
      </c>
      <c r="D46" t="s">
        <v>106</v>
      </c>
      <c r="E46" t="s">
        <v>347</v>
      </c>
    </row>
    <row r="47" spans="1:6" x14ac:dyDescent="0.2">
      <c r="A47" t="s">
        <v>107</v>
      </c>
      <c r="B47" t="s">
        <v>108</v>
      </c>
      <c r="C47" s="6">
        <v>0</v>
      </c>
      <c r="D47" t="s">
        <v>106</v>
      </c>
      <c r="E47" t="s">
        <v>109</v>
      </c>
    </row>
    <row r="48" spans="1:6" x14ac:dyDescent="0.2">
      <c r="A48" t="s">
        <v>110</v>
      </c>
      <c r="B48" t="s">
        <v>111</v>
      </c>
      <c r="C48" s="20">
        <f>CEILING((C39*C40*C41)/(C8*(C15/8)),1)</f>
        <v>32</v>
      </c>
      <c r="D48" t="s">
        <v>106</v>
      </c>
      <c r="E48" t="s">
        <v>338</v>
      </c>
    </row>
    <row r="49" spans="1:6" x14ac:dyDescent="0.2">
      <c r="A49" t="s">
        <v>112</v>
      </c>
      <c r="B49" t="s">
        <v>113</v>
      </c>
      <c r="C49" s="20">
        <f>(1-C44)*C48+C45</f>
        <v>2</v>
      </c>
      <c r="D49" t="s">
        <v>106</v>
      </c>
      <c r="E49" t="s">
        <v>348</v>
      </c>
    </row>
    <row r="50" spans="1:6" x14ac:dyDescent="0.2">
      <c r="A50" t="s">
        <v>114</v>
      </c>
      <c r="B50" t="s">
        <v>115</v>
      </c>
      <c r="C50" s="6">
        <v>0</v>
      </c>
      <c r="D50" t="s">
        <v>106</v>
      </c>
      <c r="E50" t="s">
        <v>116</v>
      </c>
    </row>
    <row r="51" spans="1:6" x14ac:dyDescent="0.2">
      <c r="A51" t="s">
        <v>117</v>
      </c>
      <c r="B51" t="s">
        <v>118</v>
      </c>
      <c r="C51" s="20">
        <f>CEILING(C39*C40/C8,1)</f>
        <v>8</v>
      </c>
      <c r="D51" t="s">
        <v>106</v>
      </c>
      <c r="E51" t="s">
        <v>349</v>
      </c>
    </row>
    <row r="52" spans="1:6" x14ac:dyDescent="0.2">
      <c r="A52" t="s">
        <v>119</v>
      </c>
      <c r="B52" t="s">
        <v>120</v>
      </c>
      <c r="C52" s="8">
        <v>0.5</v>
      </c>
      <c r="D52" t="s">
        <v>121</v>
      </c>
      <c r="E52" t="s">
        <v>122</v>
      </c>
    </row>
    <row r="54" spans="1:6" x14ac:dyDescent="0.2">
      <c r="A54" s="4" t="s">
        <v>123</v>
      </c>
      <c r="B54" s="5"/>
      <c r="C54" s="5"/>
      <c r="D54" s="5"/>
      <c r="E54" s="5"/>
      <c r="F54" s="5"/>
    </row>
    <row r="55" spans="1:6" x14ac:dyDescent="0.2">
      <c r="A55" t="s">
        <v>124</v>
      </c>
      <c r="B55" t="s">
        <v>125</v>
      </c>
      <c r="C55" s="8">
        <v>0.1</v>
      </c>
      <c r="D55" t="s">
        <v>121</v>
      </c>
      <c r="E55" t="s">
        <v>126</v>
      </c>
    </row>
    <row r="56" spans="1:6" x14ac:dyDescent="0.2">
      <c r="A56" t="s">
        <v>127</v>
      </c>
      <c r="B56" t="s">
        <v>128</v>
      </c>
      <c r="C56" s="8">
        <v>0.5</v>
      </c>
      <c r="D56" t="s">
        <v>121</v>
      </c>
      <c r="E56" t="s">
        <v>129</v>
      </c>
    </row>
    <row r="57" spans="1:6" x14ac:dyDescent="0.2">
      <c r="A57" t="s">
        <v>130</v>
      </c>
      <c r="B57" t="s">
        <v>131</v>
      </c>
      <c r="C57" s="9">
        <v>1</v>
      </c>
      <c r="D57" t="s">
        <v>78</v>
      </c>
      <c r="E57" t="s">
        <v>132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F4738-7327-2149-869F-AF474CE0F6DA}">
  <dimension ref="A1:E54"/>
  <sheetViews>
    <sheetView workbookViewId="0">
      <pane ySplit="1" topLeftCell="A25" activePane="bottomLeft" state="frozen"/>
      <selection pane="bottomLeft" activeCell="C17" sqref="C17"/>
    </sheetView>
  </sheetViews>
  <sheetFormatPr baseColWidth="10" defaultRowHeight="16" x14ac:dyDescent="0.2"/>
  <cols>
    <col min="1" max="1" width="51.6640625" customWidth="1"/>
    <col min="2" max="3" width="20" customWidth="1"/>
    <col min="4" max="4" width="15" customWidth="1"/>
    <col min="5" max="5" width="58.33203125" customWidth="1"/>
  </cols>
  <sheetData>
    <row r="1" spans="1:5" x14ac:dyDescent="0.2">
      <c r="A1" s="10" t="s">
        <v>133</v>
      </c>
      <c r="B1" s="10" t="s">
        <v>1</v>
      </c>
      <c r="C1" s="10" t="s">
        <v>134</v>
      </c>
      <c r="D1" s="10" t="s">
        <v>3</v>
      </c>
      <c r="E1" s="10" t="s">
        <v>135</v>
      </c>
    </row>
    <row r="2" spans="1:5" x14ac:dyDescent="0.2">
      <c r="A2" s="11" t="s">
        <v>136</v>
      </c>
      <c r="B2" s="5"/>
      <c r="C2" s="5"/>
      <c r="D2" s="5"/>
      <c r="E2" s="5"/>
    </row>
    <row r="3" spans="1:5" x14ac:dyDescent="0.2">
      <c r="A3" t="s">
        <v>137</v>
      </c>
      <c r="B3" t="s">
        <v>138</v>
      </c>
      <c r="C3">
        <f>CEILING(Parameters!C8/Parameters!C13,1)</f>
        <v>2</v>
      </c>
      <c r="D3" t="s">
        <v>45</v>
      </c>
      <c r="E3" t="s">
        <v>139</v>
      </c>
    </row>
    <row r="4" spans="1:5" x14ac:dyDescent="0.2">
      <c r="A4" t="s">
        <v>140</v>
      </c>
      <c r="B4" t="s">
        <v>141</v>
      </c>
      <c r="C4">
        <f>CEILING(Parameters!C8/Parameters!C14,1)</f>
        <v>4</v>
      </c>
      <c r="D4" t="s">
        <v>45</v>
      </c>
      <c r="E4" t="s">
        <v>142</v>
      </c>
    </row>
    <row r="5" spans="1:5" x14ac:dyDescent="0.2">
      <c r="A5" t="s">
        <v>143</v>
      </c>
      <c r="B5" t="s">
        <v>144</v>
      </c>
      <c r="C5">
        <f>CEILING(Parameters!C8/Parameters!C16,1)</f>
        <v>4</v>
      </c>
      <c r="D5" t="s">
        <v>45</v>
      </c>
      <c r="E5" t="s">
        <v>145</v>
      </c>
    </row>
    <row r="6" spans="1:5" x14ac:dyDescent="0.2">
      <c r="A6" t="s">
        <v>146</v>
      </c>
      <c r="B6" t="s">
        <v>147</v>
      </c>
      <c r="C6">
        <f>Parameters!C21</f>
        <v>32</v>
      </c>
      <c r="D6" t="s">
        <v>45</v>
      </c>
      <c r="E6" t="s">
        <v>148</v>
      </c>
    </row>
    <row r="7" spans="1:5" x14ac:dyDescent="0.2">
      <c r="A7" t="s">
        <v>149</v>
      </c>
      <c r="B7" t="s">
        <v>150</v>
      </c>
      <c r="C7">
        <f>Parameters!C15/8</f>
        <v>4</v>
      </c>
      <c r="D7" t="s">
        <v>151</v>
      </c>
      <c r="E7" t="s">
        <v>152</v>
      </c>
    </row>
    <row r="8" spans="1:5" x14ac:dyDescent="0.2">
      <c r="A8" t="s">
        <v>153</v>
      </c>
      <c r="B8" t="s">
        <v>154</v>
      </c>
      <c r="C8">
        <f>Parameters!C14*C7</f>
        <v>32</v>
      </c>
      <c r="D8" t="s">
        <v>155</v>
      </c>
      <c r="E8" t="s">
        <v>156</v>
      </c>
    </row>
    <row r="9" spans="1:5" x14ac:dyDescent="0.2">
      <c r="A9" t="s">
        <v>157</v>
      </c>
      <c r="B9" t="s">
        <v>158</v>
      </c>
      <c r="C9">
        <f>Parameters!C46+Parameters!C47+Parameters!C48+Parameters!C49+Parameters!C50</f>
        <v>50</v>
      </c>
      <c r="D9" t="s">
        <v>106</v>
      </c>
      <c r="E9" t="s">
        <v>159</v>
      </c>
    </row>
    <row r="11" spans="1:5" x14ac:dyDescent="0.2">
      <c r="A11" s="11" t="s">
        <v>160</v>
      </c>
      <c r="B11" s="5"/>
      <c r="C11" s="5"/>
      <c r="D11" s="5"/>
      <c r="E11" s="5"/>
    </row>
    <row r="12" spans="1:5" x14ac:dyDescent="0.2">
      <c r="A12" t="s">
        <v>161</v>
      </c>
      <c r="B12" t="s">
        <v>162</v>
      </c>
      <c r="C12">
        <f>Parameters!C49*C3</f>
        <v>4</v>
      </c>
      <c r="D12" t="s">
        <v>45</v>
      </c>
      <c r="E12" t="s">
        <v>163</v>
      </c>
    </row>
    <row r="13" spans="1:5" x14ac:dyDescent="0.2">
      <c r="A13" t="s">
        <v>164</v>
      </c>
      <c r="B13" t="s">
        <v>165</v>
      </c>
      <c r="C13">
        <f>Parameters!C48*C4</f>
        <v>128</v>
      </c>
      <c r="D13" t="s">
        <v>45</v>
      </c>
      <c r="E13" t="s">
        <v>166</v>
      </c>
    </row>
    <row r="14" spans="1:5" x14ac:dyDescent="0.2">
      <c r="A14" t="s">
        <v>167</v>
      </c>
      <c r="B14" t="s">
        <v>168</v>
      </c>
      <c r="C14">
        <f>Parameters!C46*C5</f>
        <v>64</v>
      </c>
      <c r="D14" t="s">
        <v>45</v>
      </c>
      <c r="E14" t="s">
        <v>169</v>
      </c>
    </row>
    <row r="15" spans="1:5" x14ac:dyDescent="0.2">
      <c r="A15" t="s">
        <v>170</v>
      </c>
      <c r="B15" t="s">
        <v>171</v>
      </c>
      <c r="C15">
        <f>Parameters!C50*C6</f>
        <v>0</v>
      </c>
      <c r="D15" t="s">
        <v>45</v>
      </c>
      <c r="E15" t="s">
        <v>172</v>
      </c>
    </row>
    <row r="16" spans="1:5" x14ac:dyDescent="0.2">
      <c r="A16" t="s">
        <v>173</v>
      </c>
      <c r="B16" t="s">
        <v>174</v>
      </c>
      <c r="C16">
        <f>C9</f>
        <v>50</v>
      </c>
      <c r="D16" t="s">
        <v>45</v>
      </c>
      <c r="E16" t="s">
        <v>175</v>
      </c>
    </row>
    <row r="17" spans="1:5" x14ac:dyDescent="0.2">
      <c r="A17" t="s">
        <v>176</v>
      </c>
      <c r="B17" t="s">
        <v>177</v>
      </c>
      <c r="C17">
        <f>MAX(C12,C13,C14,C15,C16)</f>
        <v>128</v>
      </c>
      <c r="D17" t="s">
        <v>45</v>
      </c>
      <c r="E17" t="s">
        <v>178</v>
      </c>
    </row>
    <row r="19" spans="1:5" x14ac:dyDescent="0.2">
      <c r="A19" s="11" t="s">
        <v>179</v>
      </c>
      <c r="B19" s="5"/>
      <c r="C19" s="5"/>
      <c r="D19" s="5"/>
      <c r="E19" s="5"/>
    </row>
    <row r="20" spans="1:5" x14ac:dyDescent="0.2">
      <c r="A20" t="s">
        <v>180</v>
      </c>
      <c r="B20" t="s">
        <v>181</v>
      </c>
      <c r="C20">
        <f>Parameters!C46</f>
        <v>16</v>
      </c>
      <c r="D20" t="s">
        <v>182</v>
      </c>
      <c r="E20" t="s">
        <v>105</v>
      </c>
    </row>
    <row r="21" spans="1:5" x14ac:dyDescent="0.2">
      <c r="A21" t="s">
        <v>183</v>
      </c>
      <c r="B21" t="s">
        <v>184</v>
      </c>
      <c r="C21">
        <f>C20*Parameters!C52</f>
        <v>8</v>
      </c>
      <c r="D21" t="s">
        <v>182</v>
      </c>
      <c r="E21" t="s">
        <v>185</v>
      </c>
    </row>
    <row r="22" spans="1:5" x14ac:dyDescent="0.2">
      <c r="A22" t="s">
        <v>186</v>
      </c>
      <c r="B22" t="s">
        <v>187</v>
      </c>
      <c r="C22">
        <f>C20*(1-Parameters!C52)</f>
        <v>8</v>
      </c>
      <c r="D22" t="s">
        <v>182</v>
      </c>
      <c r="E22" t="s">
        <v>188</v>
      </c>
    </row>
    <row r="23" spans="1:5" x14ac:dyDescent="0.2">
      <c r="A23" t="s">
        <v>189</v>
      </c>
      <c r="B23" t="s">
        <v>190</v>
      </c>
      <c r="C23" s="12">
        <f>1-(C21/C20*Parameters!C55 + C22/C20*Parameters!C56)</f>
        <v>0.7</v>
      </c>
      <c r="D23" t="s">
        <v>121</v>
      </c>
      <c r="E23" t="s">
        <v>191</v>
      </c>
    </row>
    <row r="24" spans="1:5" x14ac:dyDescent="0.2">
      <c r="A24" t="s">
        <v>192</v>
      </c>
      <c r="B24" t="s">
        <v>193</v>
      </c>
      <c r="C24" s="13">
        <f>C20*Parameters!C57*C23</f>
        <v>11.2</v>
      </c>
      <c r="D24" t="s">
        <v>194</v>
      </c>
      <c r="E24" t="s">
        <v>195</v>
      </c>
    </row>
    <row r="25" spans="1:5" x14ac:dyDescent="0.2">
      <c r="A25" t="s">
        <v>196</v>
      </c>
      <c r="B25" t="s">
        <v>197</v>
      </c>
      <c r="C25">
        <f>C24*Parameters!C25</f>
        <v>1120</v>
      </c>
      <c r="D25" t="s">
        <v>45</v>
      </c>
      <c r="E25" t="s">
        <v>198</v>
      </c>
    </row>
    <row r="26" spans="1:5" x14ac:dyDescent="0.2">
      <c r="A26" t="s">
        <v>336</v>
      </c>
      <c r="B26" t="s">
        <v>199</v>
      </c>
      <c r="C26">
        <f>MAX(0,C25-(Parameters!C9-1)*C17)</f>
        <v>736</v>
      </c>
      <c r="D26" t="s">
        <v>45</v>
      </c>
      <c r="E26" t="s">
        <v>200</v>
      </c>
    </row>
    <row r="28" spans="1:5" x14ac:dyDescent="0.2">
      <c r="A28" s="11" t="s">
        <v>201</v>
      </c>
      <c r="B28" s="5"/>
      <c r="C28" s="5"/>
      <c r="D28" s="5"/>
      <c r="E28" s="5"/>
    </row>
    <row r="29" spans="1:5" x14ac:dyDescent="0.2">
      <c r="A29" t="s">
        <v>202</v>
      </c>
      <c r="B29" t="s">
        <v>203</v>
      </c>
      <c r="C29">
        <f>C17+C26</f>
        <v>864</v>
      </c>
      <c r="D29" t="s">
        <v>45</v>
      </c>
      <c r="E29" t="s">
        <v>204</v>
      </c>
    </row>
    <row r="31" spans="1:5" x14ac:dyDescent="0.2">
      <c r="A31" s="11" t="s">
        <v>205</v>
      </c>
      <c r="B31" s="5"/>
      <c r="C31" s="5"/>
      <c r="D31" s="5"/>
      <c r="E31" s="5"/>
    </row>
    <row r="32" spans="1:5" x14ac:dyDescent="0.2">
      <c r="A32" t="s">
        <v>206</v>
      </c>
      <c r="B32" t="s">
        <v>207</v>
      </c>
      <c r="C32">
        <f>CEILING(Parameters!C36/Parameters!C39,1)*CEILING(Parameters!C37/Parameters!C40,1)</f>
        <v>64</v>
      </c>
      <c r="D32" t="s">
        <v>208</v>
      </c>
      <c r="E32" t="s">
        <v>209</v>
      </c>
    </row>
    <row r="33" spans="1:5" x14ac:dyDescent="0.2">
      <c r="A33" t="s">
        <v>210</v>
      </c>
      <c r="B33" t="s">
        <v>211</v>
      </c>
      <c r="C33">
        <f>CEILING(Parameters!C38/Parameters!C41,1)</f>
        <v>8</v>
      </c>
      <c r="D33" t="s">
        <v>212</v>
      </c>
      <c r="E33" t="s">
        <v>213</v>
      </c>
    </row>
    <row r="34" spans="1:5" x14ac:dyDescent="0.2">
      <c r="A34" t="s">
        <v>214</v>
      </c>
      <c r="B34" t="s">
        <v>215</v>
      </c>
      <c r="C34">
        <f>Parameters!C51*C5</f>
        <v>32</v>
      </c>
      <c r="D34" t="s">
        <v>45</v>
      </c>
      <c r="E34" t="s">
        <v>216</v>
      </c>
    </row>
    <row r="35" spans="1:5" x14ac:dyDescent="0.2">
      <c r="A35" t="s">
        <v>333</v>
      </c>
      <c r="B35" t="s">
        <v>334</v>
      </c>
      <c r="C35">
        <f>C33*(Parameters!C9*C17+Parameters!C9*C26)+C34*Parameters!C9</f>
        <v>27776</v>
      </c>
      <c r="D35" t="s">
        <v>45</v>
      </c>
      <c r="E35" t="s">
        <v>337</v>
      </c>
    </row>
    <row r="36" spans="1:5" x14ac:dyDescent="0.2">
      <c r="A36" t="s">
        <v>217</v>
      </c>
      <c r="B36" t="s">
        <v>218</v>
      </c>
      <c r="C36">
        <f>CEILING(C32/Parameters!C9,1)</f>
        <v>16</v>
      </c>
      <c r="D36" t="s">
        <v>219</v>
      </c>
      <c r="E36" t="s">
        <v>220</v>
      </c>
    </row>
    <row r="37" spans="1:5" x14ac:dyDescent="0.2">
      <c r="A37" t="s">
        <v>221</v>
      </c>
      <c r="B37" t="s">
        <v>222</v>
      </c>
      <c r="C37">
        <f>C36*C35</f>
        <v>444416</v>
      </c>
      <c r="D37" t="s">
        <v>45</v>
      </c>
      <c r="E37" t="s">
        <v>335</v>
      </c>
    </row>
    <row r="38" spans="1:5" x14ac:dyDescent="0.2">
      <c r="A38" t="s">
        <v>223</v>
      </c>
      <c r="B38" t="s">
        <v>224</v>
      </c>
      <c r="C38" s="14">
        <f>C37/(Parameters!C3*1000000)</f>
        <v>2.22208E-3</v>
      </c>
      <c r="D38" t="s">
        <v>225</v>
      </c>
      <c r="E38" t="s">
        <v>226</v>
      </c>
    </row>
    <row r="39" spans="1:5" x14ac:dyDescent="0.2">
      <c r="A39" t="s">
        <v>223</v>
      </c>
      <c r="B39" t="s">
        <v>227</v>
      </c>
      <c r="C39" s="15">
        <f>C38*1000000</f>
        <v>2222.08</v>
      </c>
      <c r="D39" t="s">
        <v>228</v>
      </c>
      <c r="E39" t="s">
        <v>229</v>
      </c>
    </row>
    <row r="41" spans="1:5" x14ac:dyDescent="0.2">
      <c r="A41" s="11" t="s">
        <v>230</v>
      </c>
      <c r="B41" s="5"/>
      <c r="C41" s="5"/>
      <c r="D41" s="5"/>
      <c r="E41" s="5"/>
    </row>
    <row r="42" spans="1:5" x14ac:dyDescent="0.2">
      <c r="A42" t="s">
        <v>231</v>
      </c>
      <c r="B42" t="s">
        <v>232</v>
      </c>
      <c r="C42" s="16">
        <f>2*Parameters!C36*Parameters!C37*Parameters!C38</f>
        <v>4194304</v>
      </c>
      <c r="D42" t="s">
        <v>233</v>
      </c>
      <c r="E42" t="s">
        <v>234</v>
      </c>
    </row>
    <row r="43" spans="1:5" x14ac:dyDescent="0.2">
      <c r="A43" t="s">
        <v>235</v>
      </c>
      <c r="B43" t="s">
        <v>236</v>
      </c>
      <c r="C43" s="17">
        <f>IF(C38=0,0,C42/C38/1000000000)</f>
        <v>1.8875576036866359</v>
      </c>
      <c r="D43" t="s">
        <v>236</v>
      </c>
      <c r="E43" t="s">
        <v>237</v>
      </c>
    </row>
    <row r="44" spans="1:5" x14ac:dyDescent="0.2">
      <c r="A44" t="s">
        <v>329</v>
      </c>
      <c r="B44" t="s">
        <v>238</v>
      </c>
      <c r="C44" s="17">
        <f>C8*2*Parameters!C3*1000000/1000000000</f>
        <v>12.8</v>
      </c>
      <c r="D44" t="s">
        <v>236</v>
      </c>
      <c r="E44" t="s">
        <v>330</v>
      </c>
    </row>
    <row r="45" spans="1:5" x14ac:dyDescent="0.2">
      <c r="A45" t="s">
        <v>239</v>
      </c>
      <c r="B45" t="s">
        <v>240</v>
      </c>
      <c r="C45" s="12">
        <f>IF(C44=0,0,C43/C44)</f>
        <v>0.14746543778801843</v>
      </c>
      <c r="D45" t="s">
        <v>121</v>
      </c>
      <c r="E45" t="s">
        <v>241</v>
      </c>
    </row>
    <row r="46" spans="1:5" x14ac:dyDescent="0.2">
      <c r="A46" s="7" t="s">
        <v>331</v>
      </c>
      <c r="C46" t="str">
        <f>IF(C45&gt;1,"WARNING: util &gt; 1.0 — instruction mix (I_mul="&amp;Parameters!C48&amp;") may be too low for "&amp;TEXT(C42,"#,##0")&amp;" total ops. Check I_mul.","OK")</f>
        <v>OK</v>
      </c>
      <c r="E46" t="s">
        <v>332</v>
      </c>
    </row>
    <row r="47" spans="1:5" x14ac:dyDescent="0.2">
      <c r="A47" s="11" t="s">
        <v>242</v>
      </c>
      <c r="B47" s="5"/>
      <c r="C47" s="5"/>
      <c r="D47" s="5"/>
      <c r="E47" s="5"/>
    </row>
    <row r="48" spans="1:5" x14ac:dyDescent="0.2">
      <c r="A48" t="s">
        <v>243</v>
      </c>
      <c r="B48" t="s">
        <v>244</v>
      </c>
      <c r="C48" s="15">
        <f>C32*C33*C20*Parameters!C57*C23</f>
        <v>5734.4</v>
      </c>
      <c r="D48" t="s">
        <v>245</v>
      </c>
      <c r="E48" t="s">
        <v>246</v>
      </c>
    </row>
    <row r="49" spans="1:5" x14ac:dyDescent="0.2">
      <c r="A49" t="s">
        <v>247</v>
      </c>
      <c r="B49" t="s">
        <v>248</v>
      </c>
      <c r="C49" s="16">
        <f>C48*Parameters!C30</f>
        <v>734003.19999999995</v>
      </c>
      <c r="D49" t="s">
        <v>75</v>
      </c>
      <c r="E49" t="s">
        <v>249</v>
      </c>
    </row>
    <row r="50" spans="1:5" x14ac:dyDescent="0.2">
      <c r="A50" t="s">
        <v>250</v>
      </c>
      <c r="B50" t="s">
        <v>251</v>
      </c>
      <c r="C50" s="16">
        <f>IF(C38=0,0,C49/C38)</f>
        <v>330322580.64516127</v>
      </c>
      <c r="D50" t="s">
        <v>252</v>
      </c>
      <c r="E50" t="s">
        <v>253</v>
      </c>
    </row>
    <row r="51" spans="1:5" x14ac:dyDescent="0.2">
      <c r="A51" t="s">
        <v>250</v>
      </c>
      <c r="B51" t="s">
        <v>254</v>
      </c>
      <c r="C51" s="17">
        <f>C50/1000000000</f>
        <v>0.33032258064516129</v>
      </c>
      <c r="D51" t="s">
        <v>82</v>
      </c>
      <c r="E51" t="s">
        <v>255</v>
      </c>
    </row>
    <row r="52" spans="1:5" x14ac:dyDescent="0.2">
      <c r="A52" t="s">
        <v>256</v>
      </c>
      <c r="B52" t="s">
        <v>257</v>
      </c>
      <c r="C52" s="12">
        <f>IF(Parameters!C32=0,0,C51/Parameters!C32)</f>
        <v>0.1032258064516129</v>
      </c>
      <c r="D52" t="s">
        <v>121</v>
      </c>
      <c r="E52" t="s">
        <v>258</v>
      </c>
    </row>
    <row r="54" spans="1:5" x14ac:dyDescent="0.2">
      <c r="A54" t="s">
        <v>259</v>
      </c>
      <c r="C54" t="str">
        <f>IF(C45&gt;C52,"COMPUTE-BOUND",IF(C52&gt;C45,"MEMORY-BOUND","BALANCED"))</f>
        <v>COMPUTE-BOUND</v>
      </c>
      <c r="E54" t="s">
        <v>260</v>
      </c>
    </row>
  </sheetData>
  <conditionalFormatting sqref="C54">
    <cfRule type="containsText" dxfId="5" priority="1" operator="containsText" text="MEMORY-BOUND">
      <formula>NOT(ISERROR(SEARCH("MEMORY-BOUND",C54)))</formula>
    </cfRule>
  </conditionalFormatting>
  <conditionalFormatting sqref="C54">
    <cfRule type="containsText" priority="2" operator="containsText" text="Text">
      <formula>NOT(ISERROR(SEARCH("Text",C54)))</formula>
    </cfRule>
  </conditionalFormatting>
  <conditionalFormatting sqref="C46">
    <cfRule type="containsText" dxfId="4" priority="3" operator="containsText" text="OK">
      <formula>NOT(ISERROR(SEARCH("OK",C46)))</formula>
    </cfRule>
  </conditionalFormatting>
  <conditionalFormatting sqref="C46">
    <cfRule type="containsText" priority="4" operator="containsText" text="Text">
      <formula>NOT(ISERROR(SEARCH("Text",C46)))</formula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48061-8A09-854D-BFFE-A81D1AEB9874}">
  <dimension ref="A1:E18"/>
  <sheetViews>
    <sheetView workbookViewId="0">
      <selection activeCell="C12" sqref="C12"/>
    </sheetView>
  </sheetViews>
  <sheetFormatPr baseColWidth="10" defaultRowHeight="16" x14ac:dyDescent="0.2"/>
  <cols>
    <col min="1" max="1" width="41.6640625" customWidth="1"/>
    <col min="2" max="2" width="30" customWidth="1"/>
    <col min="3" max="3" width="16.6640625" customWidth="1"/>
    <col min="5" max="5" width="46.6640625" customWidth="1"/>
  </cols>
  <sheetData>
    <row r="1" spans="1:5" x14ac:dyDescent="0.2">
      <c r="A1" s="10"/>
      <c r="B1" s="10" t="s">
        <v>261</v>
      </c>
      <c r="C1" s="10" t="s">
        <v>2</v>
      </c>
      <c r="D1" s="10" t="s">
        <v>3</v>
      </c>
      <c r="E1" s="10" t="s">
        <v>262</v>
      </c>
    </row>
    <row r="2" spans="1:5" x14ac:dyDescent="0.2">
      <c r="A2" s="11" t="s">
        <v>263</v>
      </c>
      <c r="B2" s="5"/>
      <c r="C2" s="5"/>
      <c r="D2" s="5"/>
      <c r="E2" s="5"/>
    </row>
    <row r="3" spans="1:5" x14ac:dyDescent="0.2">
      <c r="A3" t="s">
        <v>264</v>
      </c>
      <c r="B3" t="s">
        <v>265</v>
      </c>
      <c r="C3" s="16">
        <f>Parameters!C9*Parameters!C8*Parameters!C10*32</f>
        <v>131072</v>
      </c>
      <c r="D3" t="s">
        <v>38</v>
      </c>
    </row>
    <row r="4" spans="1:5" x14ac:dyDescent="0.2">
      <c r="A4" t="s">
        <v>266</v>
      </c>
      <c r="B4" t="s">
        <v>352</v>
      </c>
      <c r="C4">
        <f>CEILING(C3/Parameters!C6,1)</f>
        <v>14</v>
      </c>
      <c r="D4" t="s">
        <v>11</v>
      </c>
    </row>
    <row r="5" spans="1:5" x14ac:dyDescent="0.2">
      <c r="A5" t="s">
        <v>267</v>
      </c>
      <c r="B5" t="s">
        <v>353</v>
      </c>
      <c r="C5">
        <f>CEILING(Parameters!C29*1024*8/Parameters!C6,1)</f>
        <v>4</v>
      </c>
      <c r="D5" t="s">
        <v>11</v>
      </c>
    </row>
    <row r="6" spans="1:5" x14ac:dyDescent="0.2">
      <c r="A6" t="s">
        <v>268</v>
      </c>
      <c r="B6" t="s">
        <v>269</v>
      </c>
      <c r="C6" s="6">
        <v>2</v>
      </c>
      <c r="D6" t="s">
        <v>71</v>
      </c>
    </row>
    <row r="7" spans="1:5" x14ac:dyDescent="0.2">
      <c r="A7" t="s">
        <v>270</v>
      </c>
      <c r="B7" t="s">
        <v>271</v>
      </c>
      <c r="C7">
        <f>CEILING(C6*1024*8/Parameters!C6,1)</f>
        <v>2</v>
      </c>
      <c r="D7" t="s">
        <v>11</v>
      </c>
    </row>
    <row r="8" spans="1:5" x14ac:dyDescent="0.2">
      <c r="A8" t="s">
        <v>272</v>
      </c>
      <c r="B8" t="s">
        <v>273</v>
      </c>
      <c r="C8" s="6">
        <v>4</v>
      </c>
      <c r="D8" t="s">
        <v>71</v>
      </c>
    </row>
    <row r="9" spans="1:5" x14ac:dyDescent="0.2">
      <c r="A9" t="s">
        <v>274</v>
      </c>
      <c r="B9" t="s">
        <v>275</v>
      </c>
      <c r="C9">
        <f>CEILING(C8*1024*8/Parameters!C6,1)</f>
        <v>4</v>
      </c>
      <c r="D9" t="s">
        <v>11</v>
      </c>
    </row>
    <row r="11" spans="1:5" x14ac:dyDescent="0.2">
      <c r="A11" t="s">
        <v>276</v>
      </c>
      <c r="C11" s="1">
        <f>C4+C5+C7+C9</f>
        <v>24</v>
      </c>
      <c r="D11" s="1" t="s">
        <v>11</v>
      </c>
      <c r="E11" s="1" t="str">
        <f>IF(C11&lt;=Parameters!C4,"WITHIN BUDGET","OVER BUDGET")</f>
        <v>WITHIN BUDGET</v>
      </c>
    </row>
    <row r="12" spans="1:5" x14ac:dyDescent="0.2">
      <c r="A12" t="s">
        <v>277</v>
      </c>
      <c r="C12">
        <f>Parameters!C4</f>
        <v>557</v>
      </c>
      <c r="D12" t="s">
        <v>11</v>
      </c>
      <c r="E12" t="str">
        <f>"Headroom: "&amp;TEXT(Parameters!C4-C11,"#,##0")&amp;" blocks ("&amp;TEXT((Parameters!C4-C11)/Parameters!C4,"0.0%")&amp;")"</f>
        <v>Headroom: 533 blocks (95.7%)</v>
      </c>
    </row>
    <row r="14" spans="1:5" x14ac:dyDescent="0.2">
      <c r="A14" s="11" t="s">
        <v>278</v>
      </c>
      <c r="B14" s="5"/>
      <c r="C14" s="5"/>
      <c r="D14" s="5"/>
      <c r="E14" s="5"/>
    </row>
    <row r="15" spans="1:5" x14ac:dyDescent="0.2">
      <c r="A15" t="s">
        <v>279</v>
      </c>
      <c r="B15" t="s">
        <v>280</v>
      </c>
      <c r="C15">
        <f>Parameters!C14*Parameters!C20</f>
        <v>32</v>
      </c>
      <c r="D15" t="s">
        <v>15</v>
      </c>
    </row>
    <row r="17" spans="1:5" x14ac:dyDescent="0.2">
      <c r="A17" t="s">
        <v>281</v>
      </c>
      <c r="C17" s="1">
        <f>C15</f>
        <v>32</v>
      </c>
      <c r="D17" s="1" t="s">
        <v>15</v>
      </c>
      <c r="E17" s="1" t="str">
        <f>IF(C17&lt;=Parameters!C5,"WITHIN BUDGET","OVER BUDGET")</f>
        <v>WITHIN BUDGET</v>
      </c>
    </row>
    <row r="18" spans="1:5" x14ac:dyDescent="0.2">
      <c r="A18" t="s">
        <v>282</v>
      </c>
      <c r="C18">
        <f>Parameters!C5</f>
        <v>220</v>
      </c>
      <c r="D18" t="s">
        <v>15</v>
      </c>
      <c r="E18" t="str">
        <f>"Headroom: "&amp;TEXT(Parameters!C5-C17,"#,##0")&amp;" slices ("&amp;TEXT((Parameters!C5-C17)/Parameters!C5,"0.0%")&amp;")"</f>
        <v>Headroom: 188 slices (85.5%)</v>
      </c>
    </row>
  </sheetData>
  <conditionalFormatting sqref="E11">
    <cfRule type="containsText" dxfId="3" priority="1" operator="containsText" text="OVER">
      <formula>NOT(ISERROR(SEARCH("OVER",E11)))</formula>
    </cfRule>
  </conditionalFormatting>
  <conditionalFormatting sqref="E11">
    <cfRule type="containsText" priority="2" operator="containsText" text="Text">
      <formula>NOT(ISERROR(SEARCH("Text",E11)))</formula>
    </cfRule>
  </conditionalFormatting>
  <conditionalFormatting sqref="E17">
    <cfRule type="containsText" dxfId="2" priority="3" operator="containsText" text="OVER">
      <formula>NOT(ISERROR(SEARCH("OVER",E17)))</formula>
    </cfRule>
  </conditionalFormatting>
  <conditionalFormatting sqref="E17">
    <cfRule type="containsText" priority="4" operator="containsText" text="Text">
      <formula>NOT(ISERROR(SEARCH("Text",E17)))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552CC-14D0-4B42-9A41-94DB3C0ED113}">
  <dimension ref="A1:D17"/>
  <sheetViews>
    <sheetView workbookViewId="0"/>
  </sheetViews>
  <sheetFormatPr baseColWidth="10" defaultRowHeight="16" x14ac:dyDescent="0.2"/>
  <cols>
    <col min="1" max="1" width="38.33203125" customWidth="1"/>
    <col min="2" max="2" width="66.6640625" customWidth="1"/>
    <col min="4" max="4" width="58.33203125" customWidth="1"/>
  </cols>
  <sheetData>
    <row r="1" spans="1:4" x14ac:dyDescent="0.2">
      <c r="A1" s="10" t="s">
        <v>133</v>
      </c>
      <c r="B1" s="10" t="s">
        <v>2</v>
      </c>
      <c r="C1" s="10" t="s">
        <v>3</v>
      </c>
      <c r="D1" s="10" t="s">
        <v>4</v>
      </c>
    </row>
    <row r="2" spans="1:4" x14ac:dyDescent="0.2">
      <c r="A2" s="11" t="s">
        <v>283</v>
      </c>
      <c r="B2" s="5"/>
      <c r="C2" s="5"/>
      <c r="D2" s="5"/>
    </row>
    <row r="3" spans="1:4" x14ac:dyDescent="0.2">
      <c r="A3" t="s">
        <v>284</v>
      </c>
      <c r="B3" s="16">
        <f>'Execution Model'!C42</f>
        <v>4194304</v>
      </c>
      <c r="C3" t="s">
        <v>285</v>
      </c>
      <c r="D3" t="s">
        <v>286</v>
      </c>
    </row>
    <row r="4" spans="1:4" x14ac:dyDescent="0.2">
      <c r="A4" t="s">
        <v>287</v>
      </c>
      <c r="B4" s="16">
        <f>'Execution Model'!C49</f>
        <v>734003.19999999995</v>
      </c>
      <c r="C4" t="s">
        <v>75</v>
      </c>
      <c r="D4" t="s">
        <v>288</v>
      </c>
    </row>
    <row r="5" spans="1:4" x14ac:dyDescent="0.2">
      <c r="A5" t="s">
        <v>289</v>
      </c>
      <c r="B5" s="18">
        <f>IF(B4=0,0,B3/B4)</f>
        <v>5.7142857142857144</v>
      </c>
      <c r="C5" t="s">
        <v>290</v>
      </c>
      <c r="D5" t="s">
        <v>291</v>
      </c>
    </row>
    <row r="7" spans="1:4" x14ac:dyDescent="0.2">
      <c r="A7" s="11" t="s">
        <v>292</v>
      </c>
      <c r="B7" s="5"/>
      <c r="C7" s="5"/>
      <c r="D7" s="5"/>
    </row>
    <row r="8" spans="1:4" x14ac:dyDescent="0.2">
      <c r="A8" t="s">
        <v>293</v>
      </c>
      <c r="B8" s="12">
        <f>'Execution Model'!C44</f>
        <v>12.8</v>
      </c>
      <c r="C8" t="s">
        <v>236</v>
      </c>
      <c r="D8" t="s">
        <v>294</v>
      </c>
    </row>
    <row r="9" spans="1:4" x14ac:dyDescent="0.2">
      <c r="A9" t="s">
        <v>295</v>
      </c>
      <c r="B9">
        <f>Parameters!C32</f>
        <v>3.2</v>
      </c>
      <c r="C9" t="s">
        <v>82</v>
      </c>
      <c r="D9" t="s">
        <v>296</v>
      </c>
    </row>
    <row r="10" spans="1:4" x14ac:dyDescent="0.2">
      <c r="A10" t="s">
        <v>297</v>
      </c>
      <c r="B10" s="18">
        <f>IF(B9=0,0,B8/B9)</f>
        <v>4</v>
      </c>
      <c r="C10" t="s">
        <v>290</v>
      </c>
      <c r="D10" t="s">
        <v>298</v>
      </c>
    </row>
    <row r="12" spans="1:4" x14ac:dyDescent="0.2">
      <c r="A12" s="11" t="s">
        <v>299</v>
      </c>
      <c r="B12" s="5"/>
      <c r="C12" s="5"/>
      <c r="D12" s="5"/>
    </row>
    <row r="13" spans="1:4" x14ac:dyDescent="0.2">
      <c r="A13" t="s">
        <v>300</v>
      </c>
      <c r="B13" s="12">
        <f>MIN(B8,B5*B9)</f>
        <v>12.8</v>
      </c>
      <c r="C13" t="s">
        <v>236</v>
      </c>
      <c r="D13" t="s">
        <v>301</v>
      </c>
    </row>
    <row r="14" spans="1:4" x14ac:dyDescent="0.2">
      <c r="A14" t="s">
        <v>302</v>
      </c>
      <c r="B14" s="12">
        <f>'Execution Model'!C43</f>
        <v>1.8875576036866359</v>
      </c>
      <c r="C14" t="s">
        <v>236</v>
      </c>
      <c r="D14" t="s">
        <v>294</v>
      </c>
    </row>
    <row r="15" spans="1:4" x14ac:dyDescent="0.2">
      <c r="A15" t="s">
        <v>303</v>
      </c>
      <c r="B15" s="12">
        <f>IF(B13=0,0,B14/B13)</f>
        <v>0.14746543778801843</v>
      </c>
      <c r="C15" t="s">
        <v>121</v>
      </c>
      <c r="D15" t="s">
        <v>304</v>
      </c>
    </row>
    <row r="17" spans="1:4" x14ac:dyDescent="0.2">
      <c r="A17" t="s">
        <v>305</v>
      </c>
      <c r="B17" t="str">
        <f>IF(B5&gt;=B10,"COMPUTE-BOUND: OI (×"&amp;TEXT(B5,"0.0")&amp;") ≥ Ridge Point (×"&amp;TEXT(B10,"0.0")&amp;")","MEMORY-BOUND: OI (×"&amp;TEXT(B5,"0.0")&amp;") &lt; Ridge Point (×"&amp;TEXT(B10,"0.0")&amp;")")</f>
        <v>COMPUTE-BOUND: OI (×5.7) ≥ Ridge Point (×4.0)</v>
      </c>
      <c r="D17" t="s">
        <v>306</v>
      </c>
    </row>
  </sheetData>
  <conditionalFormatting sqref="B17">
    <cfRule type="containsText" dxfId="1" priority="1" operator="containsText" text="MEMORY-BOUND">
      <formula>NOT(ISERROR(SEARCH("MEMORY-BOUND",B17)))</formula>
    </cfRule>
  </conditionalFormatting>
  <conditionalFormatting sqref="B17">
    <cfRule type="containsText" priority="2" operator="containsText" text="Text">
      <formula>NOT(ISERROR(SEARCH("Text",B17)))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A4384-05B4-664F-B2C7-71AE67EA2356}">
  <dimension ref="A1:D16"/>
  <sheetViews>
    <sheetView workbookViewId="0">
      <selection activeCell="B3" sqref="B3"/>
    </sheetView>
  </sheetViews>
  <sheetFormatPr baseColWidth="10" defaultRowHeight="16" x14ac:dyDescent="0.2"/>
  <cols>
    <col min="1" max="1" width="46.6640625" customWidth="1"/>
    <col min="2" max="2" width="66.6640625" customWidth="1"/>
    <col min="4" max="4" width="58.33203125" customWidth="1"/>
  </cols>
  <sheetData>
    <row r="1" spans="1:4" x14ac:dyDescent="0.2">
      <c r="A1" s="10" t="s">
        <v>133</v>
      </c>
      <c r="B1" s="10" t="s">
        <v>2</v>
      </c>
      <c r="C1" s="10" t="s">
        <v>3</v>
      </c>
      <c r="D1" s="10" t="s">
        <v>4</v>
      </c>
    </row>
    <row r="2" spans="1:4" x14ac:dyDescent="0.2">
      <c r="A2" s="11" t="s">
        <v>307</v>
      </c>
      <c r="B2" s="5"/>
      <c r="C2" s="5"/>
      <c r="D2" s="5"/>
    </row>
    <row r="3" spans="1:4" x14ac:dyDescent="0.2">
      <c r="A3" t="s">
        <v>308</v>
      </c>
      <c r="B3">
        <f>'Execution Model'!C17</f>
        <v>128</v>
      </c>
      <c r="C3" t="s">
        <v>45</v>
      </c>
      <c r="D3" t="s">
        <v>309</v>
      </c>
    </row>
    <row r="4" spans="1:4" x14ac:dyDescent="0.2">
      <c r="A4" t="s">
        <v>310</v>
      </c>
      <c r="B4">
        <f>'Execution Model'!C25</f>
        <v>1120</v>
      </c>
      <c r="C4" t="s">
        <v>45</v>
      </c>
      <c r="D4" t="s">
        <v>198</v>
      </c>
    </row>
    <row r="5" spans="1:4" x14ac:dyDescent="0.2">
      <c r="A5" t="s">
        <v>311</v>
      </c>
      <c r="B5">
        <f>(Parameters!C9-1)*B3</f>
        <v>384</v>
      </c>
      <c r="C5" t="s">
        <v>45</v>
      </c>
      <c r="D5" t="s">
        <v>312</v>
      </c>
    </row>
    <row r="7" spans="1:4" x14ac:dyDescent="0.2">
      <c r="A7" t="s">
        <v>313</v>
      </c>
      <c r="B7">
        <f>IF(B4=0,1,CEILING(B4/B3,1)+1)</f>
        <v>10</v>
      </c>
      <c r="C7" t="s">
        <v>22</v>
      </c>
      <c r="D7" t="s">
        <v>314</v>
      </c>
    </row>
    <row r="8" spans="1:4" x14ac:dyDescent="0.2">
      <c r="A8" t="s">
        <v>315</v>
      </c>
      <c r="B8">
        <f>Parameters!C9</f>
        <v>4</v>
      </c>
      <c r="C8" t="s">
        <v>22</v>
      </c>
      <c r="D8" t="s">
        <v>316</v>
      </c>
    </row>
    <row r="9" spans="1:4" x14ac:dyDescent="0.2">
      <c r="A9" t="s">
        <v>317</v>
      </c>
      <c r="B9">
        <f>B8-B7</f>
        <v>-6</v>
      </c>
      <c r="C9" t="s">
        <v>22</v>
      </c>
      <c r="D9" t="s">
        <v>318</v>
      </c>
    </row>
    <row r="11" spans="1:4" x14ac:dyDescent="0.2">
      <c r="A11" t="s">
        <v>319</v>
      </c>
      <c r="B11" s="12">
        <f>IF(B4=0,1,B5/B4)</f>
        <v>0.34285714285714286</v>
      </c>
      <c r="C11" t="s">
        <v>320</v>
      </c>
      <c r="D11" t="s">
        <v>321</v>
      </c>
    </row>
    <row r="13" spans="1:4" x14ac:dyDescent="0.2">
      <c r="A13" s="11" t="s">
        <v>322</v>
      </c>
      <c r="B13" s="5"/>
      <c r="C13" s="5"/>
      <c r="D13" s="5"/>
    </row>
    <row r="14" spans="1:4" x14ac:dyDescent="0.2">
      <c r="A14" t="s">
        <v>323</v>
      </c>
      <c r="B14">
        <f>'Execution Model'!C26</f>
        <v>736</v>
      </c>
      <c r="C14" t="s">
        <v>45</v>
      </c>
      <c r="D14" t="s">
        <v>324</v>
      </c>
    </row>
    <row r="15" spans="1:4" x14ac:dyDescent="0.2">
      <c r="A15" t="s">
        <v>325</v>
      </c>
      <c r="B15" s="19">
        <f>IF('Execution Model'!C29=0,0,B14/'Execution Model'!C29)</f>
        <v>0.85185185185185186</v>
      </c>
      <c r="C15" t="s">
        <v>121</v>
      </c>
      <c r="D15" t="s">
        <v>326</v>
      </c>
    </row>
    <row r="16" spans="1:4" x14ac:dyDescent="0.2">
      <c r="A16" t="s">
        <v>327</v>
      </c>
      <c r="B16" t="str">
        <f>IF(B11&gt;=1,"SUFFICIENT: "&amp;TEXT(B8,"0")&amp;" warps provide full latency coverage (ratio "&amp;TEXT(B11,"0.00")&amp;")","INSUFFICIENT: Need "&amp;TEXT(B7,"0")&amp;" warps but have "&amp;TEXT(B8,"0")&amp;" (ratio "&amp;TEXT(B11,"0.00")&amp;")")</f>
        <v>INSUFFICIENT: Need 10 warps but have 4 (ratio 0.34)</v>
      </c>
      <c r="D16" t="s">
        <v>328</v>
      </c>
    </row>
  </sheetData>
  <conditionalFormatting sqref="B16">
    <cfRule type="containsText" dxfId="0" priority="1" operator="containsText" text="INSUFFICIENT">
      <formula>NOT(ISERROR(SEARCH("INSUFFICIENT",B16)))</formula>
    </cfRule>
  </conditionalFormatting>
  <conditionalFormatting sqref="B16">
    <cfRule type="containsText" priority="2" operator="containsText" text="Text">
      <formula>NOT(ISERROR(SEARCH("Text",B16)))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Parameters</vt:lpstr>
      <vt:lpstr>Execution Model</vt:lpstr>
      <vt:lpstr>Resource Check</vt:lpstr>
      <vt:lpstr>Roofline</vt:lpstr>
      <vt:lpstr>Latency Hiding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Colin Baird</dc:creator>
  <cp:lastModifiedBy>Colin Baird</cp:lastModifiedBy>
  <dcterms:created xsi:type="dcterms:W3CDTF">2026-03-25T16:23:06Z</dcterms:created>
  <dcterms:modified xsi:type="dcterms:W3CDTF">2026-03-26T20:00:17Z</dcterms:modified>
</cp:coreProperties>
</file>